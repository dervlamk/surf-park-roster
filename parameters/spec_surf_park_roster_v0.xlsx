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vlamk/repos/surf-park-roster/parameters/"/>
    </mc:Choice>
  </mc:AlternateContent>
  <xr:revisionPtr revIDLastSave="0" documentId="13_ncr:1_{2BBC6FEE-822C-F249-861F-C7FB1ADB0BD7}" xr6:coauthVersionLast="47" xr6:coauthVersionMax="47" xr10:uidLastSave="{00000000-0000-0000-0000-000000000000}"/>
  <bookViews>
    <workbookView xWindow="2100" yWindow="660" windowWidth="28140" windowHeight="16840" xr2:uid="{53466767-2CF8-D149-B49A-5D2B2C2A7AB0}"/>
  </bookViews>
  <sheets>
    <sheet name="OPENING SCHEDULE FINAL 1.0" sheetId="29" r:id="rId1"/>
    <sheet name="SPEC_LIFEGUARD_ROTATION" sheetId="34" r:id="rId2"/>
    <sheet name="Reef Surf Product Proposal" sheetId="4" r:id="rId3"/>
    <sheet name="MANNING BUDGET" sheetId="28" r:id="rId4"/>
    <sheet name="Shift Types" sheetId="23" r:id="rId5"/>
    <sheet name="LG Schedule 8-8pm M,T,TH " sheetId="30" r:id="rId6"/>
    <sheet name="LG Schedule 8-8pm W" sheetId="31" r:id="rId7"/>
    <sheet name="LG Schedule 8-9pm F " sheetId="26" r:id="rId8"/>
    <sheet name="LG Schedule 7-9pm Sat" sheetId="22" r:id="rId9"/>
    <sheet name="LG Schedule 7-8pm SUN " sheetId="32" r:id="rId10"/>
    <sheet name="Session List" sheetId="33" r:id="rId11"/>
    <sheet name="OPENING SCHEDULE" sheetId="10" state="hidden" r:id="rId12"/>
    <sheet name="Coaching Staff (2)" sheetId="14" state="hidden" r:id="rId13"/>
    <sheet name="Coaching Staff (3)" sheetId="15" state="hidden" r:id="rId14"/>
    <sheet name="Coaching Staff (4)" sheetId="16" state="hidden" r:id="rId15"/>
    <sheet name="Sheet11" sheetId="11" state="hidden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" i="29" l="1" a="1"/>
  <c r="Q49" i="29" s="1"/>
  <c r="P49" i="29" a="1"/>
  <c r="P49" i="29" s="1"/>
  <c r="O49" i="29" a="1"/>
  <c r="O49" i="29" s="1"/>
  <c r="N49" i="29" a="1"/>
  <c r="N49" i="29" s="1"/>
  <c r="M49" i="29" a="1"/>
  <c r="M49" i="29" s="1"/>
  <c r="Q48" i="29" a="1"/>
  <c r="Q48" i="29" s="1"/>
  <c r="P48" i="29" a="1"/>
  <c r="P48" i="29" s="1"/>
  <c r="O48" i="29" a="1"/>
  <c r="O48" i="29" s="1"/>
  <c r="N48" i="29" a="1"/>
  <c r="N48" i="29" s="1"/>
  <c r="M48" i="29" a="1"/>
  <c r="M48" i="29" s="1"/>
  <c r="L48" i="29" a="1"/>
  <c r="L48" i="29" s="1"/>
  <c r="Q47" i="29" a="1"/>
  <c r="Q47" i="29" s="1"/>
  <c r="P47" i="29" a="1"/>
  <c r="P47" i="29" s="1"/>
  <c r="O47" i="29" a="1"/>
  <c r="O47" i="29" s="1"/>
  <c r="N47" i="29" a="1"/>
  <c r="N47" i="29" s="1"/>
  <c r="M47" i="29" a="1"/>
  <c r="M47" i="29" s="1"/>
  <c r="S46" i="29"/>
  <c r="R45" i="29"/>
  <c r="Q45" i="29"/>
  <c r="P45" i="29"/>
  <c r="O45" i="29"/>
  <c r="N45" i="29"/>
  <c r="M45" i="29"/>
  <c r="L45" i="29"/>
  <c r="Q44" i="29"/>
  <c r="P44" i="29"/>
  <c r="O44" i="29"/>
  <c r="N44" i="29"/>
  <c r="M44" i="29"/>
  <c r="R43" i="29"/>
  <c r="Q43" i="29"/>
  <c r="P43" i="29"/>
  <c r="O43" i="29"/>
  <c r="N43" i="29"/>
  <c r="M43" i="29"/>
  <c r="L43" i="29"/>
  <c r="R41" i="29"/>
  <c r="Q41" i="29"/>
  <c r="P41" i="29"/>
  <c r="O41" i="29"/>
  <c r="N41" i="29"/>
  <c r="M41" i="29"/>
  <c r="L41" i="29"/>
  <c r="R39" i="29"/>
  <c r="Q39" i="29"/>
  <c r="P39" i="29"/>
  <c r="O39" i="29"/>
  <c r="N39" i="29"/>
  <c r="M39" i="29"/>
  <c r="L39" i="29"/>
  <c r="R37" i="29"/>
  <c r="Q37" i="29"/>
  <c r="P37" i="29"/>
  <c r="O37" i="29"/>
  <c r="N37" i="29"/>
  <c r="M37" i="29"/>
  <c r="L37" i="29"/>
  <c r="R35" i="29"/>
  <c r="O35" i="29"/>
  <c r="N35" i="29"/>
  <c r="M35" i="29"/>
  <c r="L35" i="29"/>
  <c r="P9" i="29"/>
  <c r="O9" i="29"/>
  <c r="N9" i="29"/>
  <c r="M9" i="29"/>
  <c r="L9" i="29"/>
  <c r="R7" i="29"/>
  <c r="Q7" i="29"/>
  <c r="P7" i="29"/>
  <c r="O7" i="29"/>
  <c r="N7" i="29"/>
  <c r="M7" i="29"/>
  <c r="L7" i="29"/>
  <c r="G40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37" i="28"/>
  <c r="L57" i="28" s="1"/>
  <c r="G53" i="28"/>
  <c r="H53" i="28" s="1"/>
  <c r="G55" i="28"/>
  <c r="G50" i="28"/>
  <c r="G47" i="28"/>
  <c r="G44" i="28"/>
  <c r="H44" i="28" s="1"/>
  <c r="G45" i="28"/>
  <c r="G37" i="28"/>
  <c r="H27" i="28"/>
  <c r="H29" i="28"/>
  <c r="H30" i="28"/>
  <c r="H31" i="28"/>
  <c r="E32" i="28"/>
  <c r="E34" i="28" s="1"/>
  <c r="F32" i="28"/>
  <c r="F34" i="28" s="1"/>
  <c r="G32" i="28"/>
  <c r="G34" i="28" s="1"/>
  <c r="H49" i="29" a="1"/>
  <c r="H49" i="29" s="1"/>
  <c r="G49" i="29" a="1"/>
  <c r="G49" i="29" s="1"/>
  <c r="F49" i="29" a="1"/>
  <c r="F49" i="29" s="1"/>
  <c r="E49" i="29" a="1"/>
  <c r="E49" i="29" s="1"/>
  <c r="D49" i="29" a="1"/>
  <c r="D49" i="29" s="1"/>
  <c r="C49" i="29" a="1"/>
  <c r="C49" i="29" s="1"/>
  <c r="B49" i="29" a="1"/>
  <c r="B49" i="29" s="1"/>
  <c r="H48" i="29" a="1"/>
  <c r="H48" i="29" s="1"/>
  <c r="G48" i="29" a="1"/>
  <c r="G48" i="29" s="1"/>
  <c r="F48" i="29" a="1"/>
  <c r="F48" i="29" s="1"/>
  <c r="E48" i="29" a="1"/>
  <c r="E48" i="29" s="1"/>
  <c r="D48" i="29" a="1"/>
  <c r="D48" i="29" s="1"/>
  <c r="C48" i="29" a="1"/>
  <c r="C48" i="29" s="1"/>
  <c r="B48" i="29" a="1"/>
  <c r="B48" i="29" s="1"/>
  <c r="H47" i="29" a="1"/>
  <c r="H47" i="29" s="1"/>
  <c r="G47" i="29" a="1"/>
  <c r="G47" i="29" s="1"/>
  <c r="F47" i="29" a="1"/>
  <c r="F47" i="29" s="1"/>
  <c r="E47" i="29" a="1"/>
  <c r="E47" i="29" s="1"/>
  <c r="D47" i="29" a="1"/>
  <c r="D47" i="29" s="1"/>
  <c r="C47" i="29" a="1"/>
  <c r="C47" i="29" s="1"/>
  <c r="B47" i="29" a="1"/>
  <c r="B47" i="29" s="1"/>
  <c r="H46" i="29"/>
  <c r="H44" i="29" s="1"/>
  <c r="R44" i="29" s="1"/>
  <c r="G46" i="29"/>
  <c r="G44" i="29" s="1"/>
  <c r="F46" i="29"/>
  <c r="F44" i="29" s="1"/>
  <c r="E46" i="29"/>
  <c r="E44" i="29" s="1"/>
  <c r="D46" i="29"/>
  <c r="D44" i="29" s="1"/>
  <c r="C46" i="29"/>
  <c r="C44" i="29" s="1"/>
  <c r="B46" i="29"/>
  <c r="B44" i="29" s="1"/>
  <c r="L44" i="29" s="1"/>
  <c r="N43" i="10" a="1"/>
  <c r="N43" i="10" s="1"/>
  <c r="O43" i="10" a="1"/>
  <c r="O43" i="10" s="1"/>
  <c r="P43" i="10" a="1"/>
  <c r="P43" i="10" s="1"/>
  <c r="Q43" i="10" a="1"/>
  <c r="Q43" i="10" s="1"/>
  <c r="R43" i="10" a="1"/>
  <c r="R43" i="10" s="1"/>
  <c r="S43" i="10" a="1"/>
  <c r="S43" i="10" s="1"/>
  <c r="M43" i="10" a="1"/>
  <c r="M43" i="10" s="1"/>
  <c r="S45" i="10" a="1"/>
  <c r="S45" i="10" s="1"/>
  <c r="R45" i="10" a="1"/>
  <c r="R45" i="10" s="1"/>
  <c r="Q45" i="10" a="1"/>
  <c r="Q45" i="10" s="1"/>
  <c r="P45" i="10" a="1"/>
  <c r="P45" i="10" s="1"/>
  <c r="O45" i="10" a="1"/>
  <c r="O45" i="10" s="1"/>
  <c r="N45" i="10" a="1"/>
  <c r="N45" i="10" s="1"/>
  <c r="M45" i="10" a="1"/>
  <c r="M45" i="10" s="1"/>
  <c r="S44" i="10" a="1"/>
  <c r="S44" i="10" s="1"/>
  <c r="R44" i="10" a="1"/>
  <c r="R44" i="10" s="1"/>
  <c r="Q44" i="10" a="1"/>
  <c r="Q44" i="10" s="1"/>
  <c r="P44" i="10" a="1"/>
  <c r="P44" i="10" s="1"/>
  <c r="O44" i="10" a="1"/>
  <c r="O44" i="10" s="1"/>
  <c r="N44" i="10" a="1"/>
  <c r="N44" i="10" s="1"/>
  <c r="M44" i="10" a="1"/>
  <c r="M44" i="10" s="1"/>
  <c r="S42" i="10"/>
  <c r="S40" i="10" s="1"/>
  <c r="R42" i="10"/>
  <c r="R40" i="10" s="1"/>
  <c r="Q42" i="10"/>
  <c r="Q40" i="10" s="1"/>
  <c r="P42" i="10"/>
  <c r="P40" i="10" s="1"/>
  <c r="O42" i="10"/>
  <c r="O40" i="10" s="1"/>
  <c r="N42" i="10"/>
  <c r="N40" i="10" s="1"/>
  <c r="M42" i="10"/>
  <c r="M40" i="10" s="1"/>
  <c r="H45" i="10" a="1"/>
  <c r="H45" i="10" s="1"/>
  <c r="G45" i="10" a="1"/>
  <c r="G45" i="10" s="1"/>
  <c r="F45" i="10" a="1"/>
  <c r="F45" i="10" s="1"/>
  <c r="E45" i="10" a="1"/>
  <c r="E45" i="10" s="1"/>
  <c r="D45" i="10" a="1"/>
  <c r="D45" i="10" s="1"/>
  <c r="C45" i="10" a="1"/>
  <c r="C45" i="10" s="1"/>
  <c r="B45" i="10" a="1"/>
  <c r="B45" i="10" s="1"/>
  <c r="H44" i="10" a="1"/>
  <c r="H44" i="10" s="1"/>
  <c r="G44" i="10" a="1"/>
  <c r="G44" i="10" s="1"/>
  <c r="F44" i="10" a="1"/>
  <c r="F44" i="10" s="1"/>
  <c r="E44" i="10" a="1"/>
  <c r="E44" i="10" s="1"/>
  <c r="D44" i="10" a="1"/>
  <c r="D44" i="10" s="1"/>
  <c r="C44" i="10" a="1"/>
  <c r="C44" i="10" s="1"/>
  <c r="B44" i="10" a="1"/>
  <c r="B44" i="10" s="1"/>
  <c r="H43" i="10" a="1"/>
  <c r="H43" i="10" s="1"/>
  <c r="G43" i="10" a="1"/>
  <c r="G43" i="10" s="1"/>
  <c r="F43" i="10" a="1"/>
  <c r="F43" i="10" s="1"/>
  <c r="E43" i="10" a="1"/>
  <c r="E43" i="10" s="1"/>
  <c r="D43" i="10" a="1"/>
  <c r="D43" i="10" s="1"/>
  <c r="C43" i="10" a="1"/>
  <c r="C43" i="10" s="1"/>
  <c r="B43" i="10" a="1"/>
  <c r="B43" i="10" s="1"/>
  <c r="H42" i="10"/>
  <c r="G42" i="10"/>
  <c r="F42" i="10"/>
  <c r="E42" i="10"/>
  <c r="D42" i="10"/>
  <c r="C42" i="10"/>
  <c r="B42" i="10"/>
  <c r="L47" i="29" l="1" a="1"/>
  <c r="L47" i="29" s="1"/>
  <c r="L49" i="29" a="1"/>
  <c r="L49" i="29" s="1"/>
  <c r="S44" i="29"/>
  <c r="R49" i="29" a="1"/>
  <c r="R49" i="29" s="1"/>
  <c r="R47" i="29" a="1"/>
  <c r="R47" i="29" s="1"/>
  <c r="S47" i="29" s="1"/>
  <c r="R48" i="29" a="1"/>
  <c r="R48" i="29" s="1"/>
  <c r="S48" i="29" s="1"/>
  <c r="L59" i="28"/>
  <c r="L58" i="28"/>
  <c r="H32" i="28"/>
  <c r="H34" i="28" s="1"/>
  <c r="I44" i="29"/>
  <c r="I49" i="29"/>
  <c r="I47" i="29"/>
  <c r="I48" i="29"/>
  <c r="I46" i="29"/>
  <c r="T40" i="10"/>
  <c r="I42" i="10"/>
  <c r="I45" i="10"/>
  <c r="I44" i="10"/>
  <c r="T42" i="10"/>
  <c r="T45" i="10"/>
  <c r="T43" i="10"/>
  <c r="T44" i="10"/>
  <c r="I43" i="10"/>
  <c r="S49" i="29" l="1"/>
  <c r="T49" i="29"/>
  <c r="T47" i="29"/>
  <c r="T48" i="29"/>
  <c r="J47" i="29"/>
  <c r="J49" i="29"/>
  <c r="J48" i="29"/>
  <c r="J44" i="10"/>
  <c r="J43" i="10"/>
  <c r="J45" i="10"/>
  <c r="U44" i="10"/>
  <c r="U45" i="10"/>
  <c r="U43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<sst xmlns="http://schemas.openxmlformats.org/spreadsheetml/2006/main" count="3896" uniqueCount="520">
  <si>
    <t>Competent</t>
  </si>
  <si>
    <t>Good</t>
  </si>
  <si>
    <t>Progressive Turns</t>
  </si>
  <si>
    <t>Intermediate</t>
  </si>
  <si>
    <t>Advanced Turns</t>
  </si>
  <si>
    <t>Novice</t>
  </si>
  <si>
    <t>Progressive</t>
  </si>
  <si>
    <t>Expert Turns</t>
  </si>
  <si>
    <t>Pro Turns</t>
  </si>
  <si>
    <t>Expert Barrels</t>
  </si>
  <si>
    <t>Pro Barrels</t>
  </si>
  <si>
    <t>Cruiser</t>
  </si>
  <si>
    <t>Intermediate Challenger</t>
  </si>
  <si>
    <t>Advanced Challenger</t>
  </si>
  <si>
    <t>Advanced Turns Plus</t>
  </si>
  <si>
    <t>Pro Challenger</t>
  </si>
  <si>
    <t>Turns = turns Only</t>
  </si>
  <si>
    <t>Challenger = Turns and Barrels</t>
  </si>
  <si>
    <t>M0.5, M1</t>
  </si>
  <si>
    <t>M2,M3</t>
  </si>
  <si>
    <t>M3/M4</t>
  </si>
  <si>
    <t>T2/T3</t>
  </si>
  <si>
    <t>T3/T4</t>
  </si>
  <si>
    <t>T3/B2</t>
  </si>
  <si>
    <t>T4/B3</t>
  </si>
  <si>
    <t>Advanced Challenger Plus</t>
  </si>
  <si>
    <t>T2/B1</t>
  </si>
  <si>
    <t>T1/T2</t>
  </si>
  <si>
    <t>Advanced Focus</t>
  </si>
  <si>
    <t>Advanced Turns Plus Plus</t>
  </si>
  <si>
    <t>Shredder</t>
  </si>
  <si>
    <t>Advanced Turns +</t>
  </si>
  <si>
    <t>"Plus" = upgraded (bigger sections, or barrels)</t>
  </si>
  <si>
    <t xml:space="preserve">Advanced Challenger </t>
  </si>
  <si>
    <t>Advanced  Barrels</t>
  </si>
  <si>
    <t>Capacity</t>
  </si>
  <si>
    <t>7-9:30</t>
  </si>
  <si>
    <t>Atlantic Park</t>
  </si>
  <si>
    <t>Advanced Turns+</t>
  </si>
  <si>
    <t>Setting Type</t>
  </si>
  <si>
    <t>X</t>
  </si>
  <si>
    <t>DSRT Balanced Option 1</t>
  </si>
  <si>
    <t>Intermediate Turns</t>
  </si>
  <si>
    <t>Intermediate  Turns +</t>
  </si>
  <si>
    <t>Intermediate Turns +</t>
  </si>
  <si>
    <t>Intermediat Challenger</t>
  </si>
  <si>
    <t>Total</t>
  </si>
  <si>
    <t>Monday</t>
  </si>
  <si>
    <t>Tuesday</t>
  </si>
  <si>
    <t>Wednesday</t>
  </si>
  <si>
    <t>Thursday</t>
  </si>
  <si>
    <t>Friday</t>
  </si>
  <si>
    <t>Saturday</t>
  </si>
  <si>
    <t>Sunday</t>
  </si>
  <si>
    <t>8-8pm</t>
  </si>
  <si>
    <t>Cruiser/Mellow Lesson</t>
  </si>
  <si>
    <t>Private SESSION</t>
  </si>
  <si>
    <t xml:space="preserve">PVT LESSON Progressive Turns </t>
  </si>
  <si>
    <t>PVT LESSON Intermediate Turns Lesson</t>
  </si>
  <si>
    <t>PVT LESSON Intermediate  Turns + Lesson</t>
  </si>
  <si>
    <t>PVT LESSON Intermediate Challenger Lesson</t>
  </si>
  <si>
    <t>PVT LESSON Advanced Turns Lesson</t>
  </si>
  <si>
    <t>PVT LESSON Advanced Turns + Lesson</t>
  </si>
  <si>
    <t>PVT LESSON Advanced Challenger Lesson</t>
  </si>
  <si>
    <t>PVT LESSON Pro Challenger Lesson</t>
  </si>
  <si>
    <t>GROUP LESSON Progressive Turns Lesson</t>
  </si>
  <si>
    <t>GROUP LESSON Intermediate Turns Lesson</t>
  </si>
  <si>
    <t>GROUP LESSON Intermediate  Turns + Lesson</t>
  </si>
  <si>
    <t>GROUP LESSON Intermediate Challenger Lesson</t>
  </si>
  <si>
    <t>GROUP LESSON Advanced Turns Lesson</t>
  </si>
  <si>
    <t>GROUP LESSON Advanced Turns + Lesson</t>
  </si>
  <si>
    <t>GROUP LESSON Advanced Challenger Lesson</t>
  </si>
  <si>
    <t>GROUP LESSON Pro Challenger Lesson</t>
  </si>
  <si>
    <t>Weekly QTY</t>
  </si>
  <si>
    <t>Category</t>
  </si>
  <si>
    <t>Fri</t>
  </si>
  <si>
    <t>8-9pm</t>
  </si>
  <si>
    <t>7-9pm</t>
  </si>
  <si>
    <t>Total Sessions</t>
  </si>
  <si>
    <t>ANY</t>
  </si>
  <si>
    <t>6:00:00 PM
Barrel Hour</t>
  </si>
  <si>
    <t>Novice (lesson)</t>
  </si>
  <si>
    <t>Beginner (lesson)</t>
  </si>
  <si>
    <t>Beginner Bay Lesson</t>
  </si>
  <si>
    <t>Good Sessions</t>
  </si>
  <si>
    <t>Shredder Sessions</t>
  </si>
  <si>
    <t>WEEK TOTALS</t>
  </si>
  <si>
    <t>Competent Sessions</t>
  </si>
  <si>
    <t>VB Aligned - M-TH 9am-7pm; Fri 9-8pm; SAT 8-8pm, SUN 8-7pm</t>
  </si>
  <si>
    <t xml:space="preserve">Progressive Turns </t>
  </si>
  <si>
    <t>(Range)</t>
  </si>
  <si>
    <t>Wave Height</t>
  </si>
  <si>
    <t>1.4-1.6feet</t>
  </si>
  <si>
    <t>3.9-6.2feet</t>
  </si>
  <si>
    <t>Wave QTY</t>
  </si>
  <si>
    <t>11-15 per surfer</t>
  </si>
  <si>
    <t>20-25 waves  per sesson</t>
  </si>
  <si>
    <t>12-25 surfers</t>
  </si>
  <si>
    <t>14-18seconds
12 second average</t>
  </si>
  <si>
    <t>Wave Length Seconds
13-18 seconds
15 second wave average</t>
  </si>
  <si>
    <t>16 sec</t>
  </si>
  <si>
    <t>18-20 sec</t>
  </si>
  <si>
    <t>21-22 sec</t>
  </si>
  <si>
    <t>21 sec</t>
  </si>
  <si>
    <t>7:00:00 PM
Barrel Hour</t>
  </si>
  <si>
    <t xml:space="preserve">6:00:00 PM
Barrel Hour
</t>
  </si>
  <si>
    <t>Bay Wave Lesson Possible</t>
  </si>
  <si>
    <t>PVT Reef Coaching possible ONLY -  EXCLUDES BAY</t>
  </si>
  <si>
    <t>Coach Roster</t>
  </si>
  <si>
    <t>arrive/prep</t>
  </si>
  <si>
    <t>land lesson begins</t>
  </si>
  <si>
    <t>water lesson</t>
  </si>
  <si>
    <t>20 minute clean up/10 minute break</t>
  </si>
  <si>
    <t>15 minute clean 15 LUNCH</t>
  </si>
  <si>
    <t>15 LUNCH 15 Minute PREP</t>
  </si>
  <si>
    <t>water coaching</t>
  </si>
  <si>
    <t>30 minute clean up CLOCK OUT</t>
  </si>
  <si>
    <t>1pm</t>
  </si>
  <si>
    <t>2pm</t>
  </si>
  <si>
    <t>2:30pmM</t>
  </si>
  <si>
    <t>/14sec</t>
  </si>
  <si>
    <t>12sec</t>
  </si>
  <si>
    <t>16/13sec</t>
  </si>
  <si>
    <t>16/14sec</t>
  </si>
  <si>
    <t>17/?</t>
  </si>
  <si>
    <t xml:space="preserve"> Pro Challenger</t>
  </si>
  <si>
    <t>hr before opening</t>
  </si>
  <si>
    <t>30 minute after last wave</t>
  </si>
  <si>
    <t>7-9end opening APS</t>
  </si>
  <si>
    <t>Prep</t>
  </si>
  <si>
    <t>Land lesson</t>
  </si>
  <si>
    <t>Tower</t>
  </si>
  <si>
    <t>Retail</t>
  </si>
  <si>
    <t>Water lesson</t>
  </si>
  <si>
    <t>Lunch</t>
  </si>
  <si>
    <t>15 break down</t>
  </si>
  <si>
    <t>12 (B team arrive)</t>
  </si>
  <si>
    <t>Water lesson advanced</t>
  </si>
  <si>
    <t>Water lesson advanced </t>
  </si>
  <si>
    <t>Land lesson </t>
  </si>
  <si>
    <t>Clean up/Handover</t>
  </si>
  <si>
    <t>Clean up/Handover </t>
  </si>
  <si>
    <t>Water lesson </t>
  </si>
  <si>
    <t>Clock out </t>
  </si>
  <si>
    <t>Clock out</t>
  </si>
  <si>
    <t>Clean up 20 + 10 minute break </t>
  </si>
  <si>
    <t>Water lesson Novice</t>
  </si>
  <si>
    <t>Debrief 20 + 10 break</t>
  </si>
  <si>
    <t>Water lesson novice</t>
  </si>
  <si>
    <t>Clean up 20 + Retail</t>
  </si>
  <si>
    <t>Retail + 10 minute break</t>
  </si>
  <si>
    <t>Retail + Lesson Prep 10</t>
  </si>
  <si>
    <t>Lesson Prep 30</t>
  </si>
  <si>
    <t>Debrief 20 + Retail</t>
  </si>
  <si>
    <t>10 minute break + Retail</t>
  </si>
  <si>
    <t>10 minute break + OTHER</t>
  </si>
  <si>
    <t>10 minute Break + Lesson Prep</t>
  </si>
  <si>
    <t>11:15-11:45 lunch + Retail</t>
  </si>
  <si>
    <t>Retail + 15 minute Lesson Prep</t>
  </si>
  <si>
    <t>A 7-3:30</t>
  </si>
  <si>
    <t>B 7-3:30</t>
  </si>
  <si>
    <t>C 7-3:30</t>
  </si>
  <si>
    <t>D 7-3:30</t>
  </si>
  <si>
    <t>E 12-8:30</t>
  </si>
  <si>
    <t>F 12-8:30</t>
  </si>
  <si>
    <t>G 12-8:30</t>
  </si>
  <si>
    <t>H 12-8:30</t>
  </si>
  <si>
    <t>Other (stock take, repair, clean)</t>
  </si>
  <si>
    <t>Lunch 10:30-11</t>
  </si>
  <si>
    <t>Lunch 11-11:30</t>
  </si>
  <si>
    <t>Surf Coach</t>
  </si>
  <si>
    <t>Surf Supervisor</t>
  </si>
  <si>
    <t>7-3:30</t>
  </si>
  <si>
    <t>12-8:30</t>
  </si>
  <si>
    <t>Land lesson 3</t>
  </si>
  <si>
    <t>PVT &amp; HELP FLOW</t>
  </si>
  <si>
    <t>10 Break + Lesson Prep 20</t>
  </si>
  <si>
    <t>Retail + 10 minute break
GS Takes over Rental 9am-</t>
  </si>
  <si>
    <t xml:space="preserve">Retail + 10 minute break
GS Takes over Rental
9am - </t>
  </si>
  <si>
    <t>Guest Services</t>
  </si>
  <si>
    <t>Rentals</t>
  </si>
  <si>
    <t>Bay Wave</t>
  </si>
  <si>
    <t>yes</t>
  </si>
  <si>
    <t>Yes</t>
  </si>
  <si>
    <t>maybe</t>
  </si>
  <si>
    <t>Open Hours</t>
  </si>
  <si>
    <t>Wave Hours</t>
  </si>
  <si>
    <t xml:space="preserve"> Malibu (foamie included, guide included if over 10 pax?)</t>
  </si>
  <si>
    <t>Malibu</t>
  </si>
  <si>
    <t xml:space="preserve">PVT LESSON Malibu </t>
  </si>
  <si>
    <t xml:space="preserve">GROUP LESSON Mallibu </t>
  </si>
  <si>
    <t>7-8:30</t>
  </si>
  <si>
    <t>6-9:30</t>
  </si>
  <si>
    <t>6-8:30</t>
  </si>
  <si>
    <t>7-8pm</t>
  </si>
  <si>
    <t>Open Time</t>
  </si>
  <si>
    <t>Left Shore</t>
  </si>
  <si>
    <t>Right Shore</t>
  </si>
  <si>
    <t>LG 1</t>
  </si>
  <si>
    <t>Right Reef</t>
  </si>
  <si>
    <t>Left Reef</t>
  </si>
  <si>
    <t>LG 2</t>
  </si>
  <si>
    <t>LG 3</t>
  </si>
  <si>
    <t>LG 4</t>
  </si>
  <si>
    <t>LG 5</t>
  </si>
  <si>
    <t>LG 6</t>
  </si>
  <si>
    <t>LG 7</t>
  </si>
  <si>
    <t>Rental</t>
  </si>
  <si>
    <t>LG S</t>
  </si>
  <si>
    <t>Rental + 10</t>
  </si>
  <si>
    <t>Prep + SB</t>
  </si>
  <si>
    <t xml:space="preserve">First Aid </t>
  </si>
  <si>
    <t>First Aid + SB</t>
  </si>
  <si>
    <t>Rental - Tower-LR-RR
Rotations happen 45 - 10 minutes roughly</t>
  </si>
  <si>
    <t>FA -LS-RS
Rotations happen at 45min - 5 minutes roughly</t>
  </si>
  <si>
    <t>OUT at 12</t>
  </si>
  <si>
    <t>Floater</t>
  </si>
  <si>
    <t>break relief</t>
  </si>
  <si>
    <t>First Aid + Break</t>
  </si>
  <si>
    <t>Rental + Break</t>
  </si>
  <si>
    <t>LG8</t>
  </si>
  <si>
    <t>LG 9</t>
  </si>
  <si>
    <t>LG 10</t>
  </si>
  <si>
    <t>LG 11</t>
  </si>
  <si>
    <t>LG 12</t>
  </si>
  <si>
    <t>LG 13</t>
  </si>
  <si>
    <t>LG 14</t>
  </si>
  <si>
    <t>LG 15</t>
  </si>
  <si>
    <t>LG 16</t>
  </si>
  <si>
    <t>LG 17</t>
  </si>
  <si>
    <t>LG 18</t>
  </si>
  <si>
    <t xml:space="preserve">7:30-12
Prep </t>
  </si>
  <si>
    <t>7:30-12 Prep</t>
  </si>
  <si>
    <t>7:30-12 Prep+SB</t>
  </si>
  <si>
    <t>OUT at 4</t>
  </si>
  <si>
    <t xml:space="preserve">11:30-4
Prep </t>
  </si>
  <si>
    <t>11:30-4
Prep+SB</t>
  </si>
  <si>
    <t xml:space="preserve">3:30-8 Prep </t>
  </si>
  <si>
    <t>OUT at 8</t>
  </si>
  <si>
    <t>LG 19</t>
  </si>
  <si>
    <t>LG 20</t>
  </si>
  <si>
    <t>LG 21</t>
  </si>
  <si>
    <t>LG 22</t>
  </si>
  <si>
    <t>LG 23</t>
  </si>
  <si>
    <t>LUNCH</t>
  </si>
  <si>
    <t>OUT at 9</t>
  </si>
  <si>
    <t>break relief FA</t>
  </si>
  <si>
    <t>break relief rental</t>
  </si>
  <si>
    <t>OUT at 11</t>
  </si>
  <si>
    <t xml:space="preserve">6:30-11
Prep </t>
  </si>
  <si>
    <t>6:30-11</t>
  </si>
  <si>
    <t>OUT at 5</t>
  </si>
  <si>
    <t xml:space="preserve">10:30-5 Prep
Prep </t>
  </si>
  <si>
    <t>10:30-5
Prep+SB</t>
  </si>
  <si>
    <t>10:30-5 Prep</t>
  </si>
  <si>
    <t>Rental 10</t>
  </si>
  <si>
    <t>Tower + 10</t>
  </si>
  <si>
    <t>GS to cover Rental</t>
  </si>
  <si>
    <t>7:30-12</t>
  </si>
  <si>
    <t>11:30-4</t>
  </si>
  <si>
    <t>3:30-8</t>
  </si>
  <si>
    <t>10:30-5</t>
  </si>
  <si>
    <t>Pax</t>
  </si>
  <si>
    <t xml:space="preserve">6:00:00 PM
</t>
  </si>
  <si>
    <t>3-7PM</t>
  </si>
  <si>
    <t>PT</t>
  </si>
  <si>
    <t>1:30 IN</t>
  </si>
  <si>
    <t>Bay Coach</t>
  </si>
  <si>
    <t xml:space="preserve">Advanced
Coach </t>
  </si>
  <si>
    <t>7:30-1:30pm</t>
  </si>
  <si>
    <t>PVT</t>
  </si>
  <si>
    <t>PVT or GRP LESSON</t>
  </si>
  <si>
    <t>7 OUT</t>
  </si>
  <si>
    <t>PT WATER
 T,TH</t>
  </si>
  <si>
    <t>1:30 Out or 2 if PVT P/U</t>
  </si>
  <si>
    <t>8:00 out</t>
  </si>
  <si>
    <t>RENTAL</t>
  </si>
  <si>
    <t>6:30-1:30</t>
  </si>
  <si>
    <t>6:30-1:30
Prep</t>
  </si>
  <si>
    <t>PT WATER</t>
  </si>
  <si>
    <t>Bay Coach 1</t>
  </si>
  <si>
    <t>Bay Coach 2</t>
  </si>
  <si>
    <t>Bay Coach 3</t>
  </si>
  <si>
    <t>Bay Coach 4</t>
  </si>
  <si>
    <t>Bay Coach 5</t>
  </si>
  <si>
    <t>Bay Coach 6</t>
  </si>
  <si>
    <t>Advanced
Coach 1</t>
  </si>
  <si>
    <t>Advanced
Coach 2</t>
  </si>
  <si>
    <t>Bay Coach 7</t>
  </si>
  <si>
    <t>Bay Coach 8</t>
  </si>
  <si>
    <t>Bay Coach 9</t>
  </si>
  <si>
    <t>Bay Coach 10</t>
  </si>
  <si>
    <t>Bay Coach 11</t>
  </si>
  <si>
    <t>Bay Coach 12</t>
  </si>
  <si>
    <t>OUT at 6</t>
  </si>
  <si>
    <t xml:space="preserve">11:30-6 Prep
Prep </t>
  </si>
  <si>
    <t xml:space="preserve">4:30-9 Prep </t>
  </si>
  <si>
    <t xml:space="preserve">5:30-9 Prep </t>
  </si>
  <si>
    <t>6-11pm</t>
  </si>
  <si>
    <t>6-12pm</t>
  </si>
  <si>
    <t>Hours</t>
  </si>
  <si>
    <t>Break</t>
  </si>
  <si>
    <t>STAFF</t>
  </si>
  <si>
    <t>ADV COACH</t>
  </si>
  <si>
    <t>7:30-1:30</t>
  </si>
  <si>
    <t>1:30-8PM</t>
  </si>
  <si>
    <t>O</t>
  </si>
  <si>
    <t>11:30-6</t>
  </si>
  <si>
    <t>1:30-9PM</t>
  </si>
  <si>
    <t>10:30-6</t>
  </si>
  <si>
    <t>5:30-10</t>
  </si>
  <si>
    <t>5:30-11</t>
  </si>
  <si>
    <t>6:30-2:30</t>
  </si>
  <si>
    <t>5:30-1:30</t>
  </si>
  <si>
    <t>1:30-10pm</t>
  </si>
  <si>
    <t>5:30-12</t>
  </si>
  <si>
    <t>3-7pm</t>
  </si>
  <si>
    <t>2 OUT</t>
  </si>
  <si>
    <t>6 OUT</t>
  </si>
  <si>
    <t>Bay Wave + 1 REEF INSTRUCTOR for 10+ Bookings</t>
  </si>
  <si>
    <t>Scheduled Bay Lessons</t>
  </si>
  <si>
    <t>DSRT SURF OPENING SCHEDULE PROPOSAL 1.2</t>
  </si>
  <si>
    <t xml:space="preserve">Weekly % </t>
  </si>
  <si>
    <t xml:space="preserve">M2,M3 </t>
  </si>
  <si>
    <r>
      <t xml:space="preserve">Progressive
</t>
    </r>
    <r>
      <rPr>
        <sz val="8"/>
        <color theme="1"/>
        <rFont val="Aptos Narrow (Body)"/>
      </rPr>
      <t>(M3 not at Atlantic park anymore; foamie included, guide included if over 10 pax)</t>
    </r>
  </si>
  <si>
    <t>24 Surfers</t>
  </si>
  <si>
    <t>Atlantic Park Capacity</t>
  </si>
  <si>
    <t>Bay Beginner Lesson - White Water/ Speedies</t>
  </si>
  <si>
    <t>Likely no</t>
  </si>
  <si>
    <t>pvt</t>
  </si>
  <si>
    <t>BAY COACH/RG</t>
  </si>
  <si>
    <t>PT/MALIBU</t>
  </si>
  <si>
    <t>7:30-2 Prep</t>
  </si>
  <si>
    <t>Shore Guards</t>
  </si>
  <si>
    <t>Shore Guards Supervisor</t>
  </si>
  <si>
    <t>Reef Guards Supervisor</t>
  </si>
  <si>
    <t>Advanced Coach</t>
  </si>
  <si>
    <t>Reef Guards/Coach</t>
  </si>
  <si>
    <t>Shore Guard</t>
  </si>
  <si>
    <t>Reef Guard</t>
  </si>
  <si>
    <t>7:30-2</t>
  </si>
  <si>
    <t>OUT 8</t>
  </si>
  <si>
    <t>LUNCH OPT 1</t>
  </si>
  <si>
    <t>LUNCH OPT 2</t>
  </si>
  <si>
    <t>close</t>
  </si>
  <si>
    <t>Water Lesson</t>
  </si>
  <si>
    <t>OUT 1</t>
  </si>
  <si>
    <t>IN 3</t>
  </si>
  <si>
    <t xml:space="preserve">4:30-8 Prep </t>
  </si>
  <si>
    <t>Head Surf Coach</t>
  </si>
  <si>
    <t>FT</t>
  </si>
  <si>
    <t>TOTAL</t>
  </si>
  <si>
    <t>Land Lesson 330</t>
  </si>
  <si>
    <t>water Lesson 4-5</t>
  </si>
  <si>
    <t>Land Lesson 5:30</t>
  </si>
  <si>
    <t>water Lesson 6-7</t>
  </si>
  <si>
    <t>Day</t>
  </si>
  <si>
    <t>Per Shift hour</t>
  </si>
  <si>
    <t>Per Day Total</t>
  </si>
  <si>
    <t>Per Week Total</t>
  </si>
  <si>
    <t>4.5 Hour Shifts</t>
  </si>
  <si>
    <t>QTY/WEEK</t>
  </si>
  <si>
    <t>People a day</t>
  </si>
  <si>
    <t>Shift Type</t>
  </si>
  <si>
    <t>Shore Floater</t>
  </si>
  <si>
    <t>0-3</t>
  </si>
  <si>
    <t>Mon, Wed</t>
  </si>
  <si>
    <t>12 Hours</t>
  </si>
  <si>
    <t>T TH</t>
  </si>
  <si>
    <t>13 Hours</t>
  </si>
  <si>
    <t>14 Hours</t>
  </si>
  <si>
    <t>Coach</t>
  </si>
  <si>
    <t>ADV Coach</t>
  </si>
  <si>
    <t>Total HOURS</t>
  </si>
  <si>
    <t>Life Guard</t>
  </si>
  <si>
    <t>PT M-F</t>
  </si>
  <si>
    <t>Pt M-F MID</t>
  </si>
  <si>
    <t>PT M-F AM</t>
  </si>
  <si>
    <t>PT M-F PM</t>
  </si>
  <si>
    <t>PT Sat/SUN AM</t>
  </si>
  <si>
    <t>Pt Sat/SUNMID</t>
  </si>
  <si>
    <t>PT Sat/SUN PM</t>
  </si>
  <si>
    <t>FT M-F pm</t>
  </si>
  <si>
    <t>NEED</t>
  </si>
  <si>
    <t>FT Sat/SUN pm</t>
  </si>
  <si>
    <t>PT Sat/SUN pm</t>
  </si>
  <si>
    <t>Bay Coach + PT/MALIBU</t>
  </si>
  <si>
    <t>Reef Guard + PT/MALIBU</t>
  </si>
  <si>
    <t>HRS</t>
  </si>
  <si>
    <t>9:00 IN</t>
  </si>
  <si>
    <t>Land Lesson 9:30</t>
  </si>
  <si>
    <t>Water Lesson 10-11</t>
  </si>
  <si>
    <t>Land Lesson 1130</t>
  </si>
  <si>
    <t>water Lesson 12-1</t>
  </si>
  <si>
    <t>PARK SURF OPENING SCHEDULE REEF WAVES PROPOSAL 1.2</t>
  </si>
  <si>
    <t>PARK SURF OPENING SCHEDULE BAY WAVES PROPOSAL 1.2</t>
  </si>
  <si>
    <t>Float</t>
  </si>
  <si>
    <t>KEY</t>
  </si>
  <si>
    <t>REEF Surf Name Proposal</t>
  </si>
  <si>
    <t>Morning</t>
  </si>
  <si>
    <t>Mid</t>
  </si>
  <si>
    <t>Evening</t>
  </si>
  <si>
    <t>12 HOURS (8-8) M,T,Th</t>
  </si>
  <si>
    <t>12 HOURS (8-8) W</t>
  </si>
  <si>
    <t>2 IN</t>
  </si>
  <si>
    <t>Land Lesson 230</t>
  </si>
  <si>
    <t>water Lesson 3-4</t>
  </si>
  <si>
    <r>
      <t xml:space="preserve">Intermediate </t>
    </r>
    <r>
      <rPr>
        <sz val="12"/>
        <color rgb="FFFFC000"/>
        <rFont val="Aptos Narrow"/>
        <scheme val="minor"/>
      </rPr>
      <t>Challenger</t>
    </r>
  </si>
  <si>
    <r>
      <t xml:space="preserve">Advanced Turns </t>
    </r>
    <r>
      <rPr>
        <sz val="12"/>
        <color rgb="FFC00000"/>
        <rFont val="Aptos Narrow"/>
        <scheme val="minor"/>
      </rPr>
      <t>+</t>
    </r>
  </si>
  <si>
    <r>
      <t xml:space="preserve">Advanced </t>
    </r>
    <r>
      <rPr>
        <sz val="12"/>
        <color rgb="FFC00000"/>
        <rFont val="Aptos Narrow"/>
        <scheme val="minor"/>
      </rPr>
      <t xml:space="preserve">Challenger </t>
    </r>
  </si>
  <si>
    <r>
      <t xml:space="preserve">Pro </t>
    </r>
    <r>
      <rPr>
        <sz val="12"/>
        <color rgb="FF000000"/>
        <rFont val="Aptos Narrow"/>
        <scheme val="minor"/>
      </rPr>
      <t>Challenger</t>
    </r>
  </si>
  <si>
    <t>4:30-9</t>
  </si>
  <si>
    <t>6:30-1</t>
  </si>
  <si>
    <t>13 HOURS (8-9) FRI</t>
  </si>
  <si>
    <t>2:30-10pm</t>
  </si>
  <si>
    <t>14 HOURS (7-9) SAT</t>
  </si>
  <si>
    <t>13 HOURS (7-8) SUN</t>
  </si>
  <si>
    <t>9-1PM</t>
  </si>
  <si>
    <t xml:space="preserve">15 HOURS (7-10) </t>
  </si>
  <si>
    <t xml:space="preserve">16 HOURS (7-11) </t>
  </si>
  <si>
    <t>5:30-1</t>
  </si>
  <si>
    <t xml:space="preserve">16 HOURS (6-10) </t>
  </si>
  <si>
    <t xml:space="preserve">17 HOURS (6-11) </t>
  </si>
  <si>
    <t>12-6pm</t>
  </si>
  <si>
    <t>2:30-11pm</t>
  </si>
  <si>
    <t xml:space="preserve">17 HOURS (7-12) </t>
  </si>
  <si>
    <t xml:space="preserve">18 HOURS (6-12) </t>
  </si>
  <si>
    <t>Weekday</t>
  </si>
  <si>
    <t>Weekend</t>
  </si>
  <si>
    <t>TYPE</t>
  </si>
  <si>
    <t>POSITION</t>
  </si>
  <si>
    <t>Hours/Day</t>
  </si>
  <si>
    <t>PARK</t>
  </si>
  <si>
    <t>Beginner Lesson</t>
  </si>
  <si>
    <t>PAX + RESERVE</t>
  </si>
  <si>
    <t>Days</t>
  </si>
  <si>
    <t>People</t>
  </si>
  <si>
    <t>Pay</t>
  </si>
  <si>
    <t>$22.50/hr</t>
  </si>
  <si>
    <t>$22.50-25</t>
  </si>
  <si>
    <t>$19-20/hr</t>
  </si>
  <si>
    <t>Head Lifeguard</t>
  </si>
  <si>
    <t>Life Guard Lead 1</t>
  </si>
  <si>
    <t>Life Guard Lead 2</t>
  </si>
  <si>
    <t>Life Guard Lead 3</t>
  </si>
  <si>
    <t>Dual Zone - Surf</t>
  </si>
  <si>
    <t>Whitewater Bay</t>
  </si>
  <si>
    <t>Open Boogie</t>
  </si>
  <si>
    <t>Reef Guard  - Surf Watermen &amp; Surf Waterwomen</t>
  </si>
  <si>
    <t>2-6PM</t>
  </si>
  <si>
    <t>PREP</t>
  </si>
  <si>
    <t>LIFEGUARD 30-MIN ROTATION TEMPLATE — 8 STATIONS + RELIEF</t>
  </si>
  <si>
    <t>Applies to all shift types. Reef stations (RR, LR) = surfer-qualified guards only. BR = Board Rental = shaded rest-from-sun.</t>
  </si>
  <si>
    <t>TIME</t>
  </si>
  <si>
    <t>WAVE/ACTIVITY</t>
  </si>
  <si>
    <t>GUARD-1
(Reef)</t>
  </si>
  <si>
    <t>GUARD-2
(Reef)</t>
  </si>
  <si>
    <t>GUARD-3</t>
  </si>
  <si>
    <t>GUARD-4</t>
  </si>
  <si>
    <t>GUARD-5</t>
  </si>
  <si>
    <t>GUARD-6</t>
  </si>
  <si>
    <t>GUARD-7</t>
  </si>
  <si>
    <t>GUARD-8</t>
  </si>
  <si>
    <t>RELIEF
GUARD</t>
  </si>
  <si>
    <t>SUPERVISOR</t>
  </si>
  <si>
    <t>NOTES</t>
  </si>
  <si>
    <t>7:00 AM</t>
  </si>
  <si>
    <t>SETUP / PRE-OPEN</t>
  </si>
  <si>
    <t>RR</t>
  </si>
  <si>
    <t>LR</t>
  </si>
  <si>
    <t>CTR</t>
  </si>
  <si>
    <t>RS</t>
  </si>
  <si>
    <t>FLT</t>
  </si>
  <si>
    <t>LS</t>
  </si>
  <si>
    <t>FAR</t>
  </si>
  <si>
    <t>BR</t>
  </si>
  <si>
    <t>STANDBY</t>
  </si>
  <si>
    <t>SUP</t>
  </si>
  <si>
    <t>Park opens — begin setup</t>
  </si>
  <si>
    <t>7:30 AM</t>
  </si>
  <si>
    <t>Pre-wave brief, zone check</t>
  </si>
  <si>
    <t>8:00 AM</t>
  </si>
  <si>
    <t>Intermediate Turns (Y)</t>
  </si>
  <si>
    <t>First wave — all posts active</t>
  </si>
  <si>
    <t>8:30 AM</t>
  </si>
  <si>
    <t>REST break for Guards 1–4 (10 min within slot)</t>
  </si>
  <si>
    <t>9:00 AM</t>
  </si>
  <si>
    <t>Advanced Turns (W)</t>
  </si>
  <si>
    <t>9:30 AM</t>
  </si>
  <si>
    <t>10:00 AM</t>
  </si>
  <si>
    <t>Interm. Turns+ (Y)</t>
  </si>
  <si>
    <t>10:30 AM</t>
  </si>
  <si>
    <t>11:00 AM</t>
  </si>
  <si>
    <t>Advanced Turns+ (W)</t>
  </si>
  <si>
    <t>11:30 AM</t>
  </si>
  <si>
    <t>MEAL BREAK WINDOW</t>
  </si>
  <si>
    <t>MEAL</t>
  </si>
  <si>
    <t>COVERS
RR</t>
  </si>
  <si>
    <t>MEAL WINDOW BEGINS → stagger 1 guard/slot</t>
  </si>
  <si>
    <t>12:00 PM</t>
  </si>
  <si>
    <t>Interm. Challenger (W)</t>
  </si>
  <si>
    <t>COVERS
LR</t>
  </si>
  <si>
    <t>REST break for Guards 5–8</t>
  </si>
  <si>
    <t>12:30 PM</t>
  </si>
  <si>
    <t>COVERS
CTR</t>
  </si>
  <si>
    <t>1:00 PM</t>
  </si>
  <si>
    <t>Adv. Challenger (W)</t>
  </si>
  <si>
    <t>COVERS
RS</t>
  </si>
  <si>
    <t>1:30 PM</t>
  </si>
  <si>
    <t>COVERS
FLT</t>
  </si>
  <si>
    <t>2:00 PM</t>
  </si>
  <si>
    <t>Interm. Turns (Y)</t>
  </si>
  <si>
    <t>COVERS
LS</t>
  </si>
  <si>
    <t>2:30 PM</t>
  </si>
  <si>
    <t>COVERS
FAR</t>
  </si>
  <si>
    <t>3:00 PM</t>
  </si>
  <si>
    <t>COVERS
BR</t>
  </si>
  <si>
    <t>Shift A ends — handover to Shift B</t>
  </si>
  <si>
    <t xml:space="preserve">18:00:00 PM
</t>
  </si>
  <si>
    <t>19:00:00 PM
Barrel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</si>
</sst>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"/>
    <numFmt numFmtId="165" formatCode="[$-F400]h:mm:ss\ AM/PM"/>
  </numFmts>
  <fonts count="3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theme="5" tint="0.39997558519241921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2"/>
      <color rgb="FFFFC000"/>
      <name val="Aptos Narrow"/>
      <family val="2"/>
      <scheme val="minor"/>
    </font>
    <font>
      <sz val="12"/>
      <color theme="1"/>
      <name val="Aptos Narrow"/>
      <scheme val="minor"/>
    </font>
    <font>
      <sz val="13"/>
      <color theme="1"/>
      <name val="Helvetica Neue"/>
      <family val="2"/>
    </font>
    <font>
      <sz val="12"/>
      <color theme="1"/>
      <name val="Helvetica"/>
      <family val="2"/>
    </font>
    <font>
      <b/>
      <sz val="13"/>
      <color theme="1"/>
      <name val="Helvetica Neue"/>
      <family val="2"/>
    </font>
    <font>
      <sz val="12"/>
      <color theme="1"/>
      <name val="Helvetica Neue"/>
      <family val="2"/>
    </font>
    <font>
      <sz val="12"/>
      <color rgb="FFFF0000"/>
      <name val="Helvetica Neue"/>
      <family val="2"/>
    </font>
    <font>
      <sz val="10"/>
      <color rgb="FFFF0000"/>
      <name val="Helvetica Neue"/>
      <family val="2"/>
    </font>
    <font>
      <sz val="9"/>
      <color theme="1"/>
      <name val="Helvetica Neue"/>
      <family val="2"/>
    </font>
    <font>
      <sz val="11"/>
      <color theme="1"/>
      <name val="Helvetica"/>
      <family val="2"/>
    </font>
    <font>
      <sz val="12"/>
      <color rgb="FF000000"/>
      <name val="Helvetica Neue"/>
      <family val="2"/>
    </font>
    <font>
      <sz val="8"/>
      <color theme="1"/>
      <name val="Aptos Narrow (Body)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196B24"/>
      <name val="Aptos Narrow"/>
      <family val="2"/>
      <scheme val="minor"/>
    </font>
    <font>
      <sz val="12"/>
      <color rgb="FFFFC000"/>
      <name val="Aptos Narrow"/>
      <scheme val="minor"/>
    </font>
    <font>
      <sz val="12"/>
      <color rgb="FFC00000"/>
      <name val="Aptos Narrow"/>
      <scheme val="minor"/>
    </font>
    <font>
      <sz val="12"/>
      <color rgb="FF000000"/>
      <name val="Aptos Narrow"/>
      <scheme val="minor"/>
    </font>
    <font>
      <sz val="12"/>
      <color theme="8"/>
      <name val="Aptos Narrow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808080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00B0F0"/>
      </patternFill>
    </fill>
    <fill>
      <patternFill patternType="solid">
        <fgColor rgb="FF7030A0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0" xfId="0" applyAlignment="1">
      <alignment wrapText="1"/>
    </xf>
    <xf numFmtId="20" fontId="0" fillId="0" borderId="0" xfId="0" applyNumberFormat="1" applyAlignment="1">
      <alignment horizontal="center"/>
    </xf>
    <xf numFmtId="0" fontId="0" fillId="0" borderId="1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8" xfId="0" applyBorder="1" applyAlignment="1">
      <alignment horizontal="center"/>
    </xf>
    <xf numFmtId="20" fontId="0" fillId="0" borderId="50" xfId="0" applyNumberFormat="1" applyBorder="1" applyAlignment="1">
      <alignment horizontal="center" vertical="top"/>
    </xf>
    <xf numFmtId="0" fontId="0" fillId="0" borderId="52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0" fillId="5" borderId="20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3" xfId="0" applyBorder="1" applyAlignment="1">
      <alignment horizontal="center"/>
    </xf>
    <xf numFmtId="20" fontId="0" fillId="0" borderId="35" xfId="0" applyNumberFormat="1" applyBorder="1" applyAlignment="1">
      <alignment horizontal="center" vertical="top" wrapText="1"/>
    </xf>
    <xf numFmtId="0" fontId="0" fillId="0" borderId="31" xfId="0" applyBorder="1" applyAlignment="1">
      <alignment horizontal="center"/>
    </xf>
    <xf numFmtId="20" fontId="0" fillId="0" borderId="1" xfId="0" applyNumberFormat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wrapText="1"/>
    </xf>
    <xf numFmtId="9" fontId="0" fillId="0" borderId="0" xfId="1" applyFont="1" applyFill="1" applyBorder="1" applyAlignment="1">
      <alignment horizontal="center"/>
    </xf>
    <xf numFmtId="0" fontId="0" fillId="5" borderId="11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34" xfId="0" applyBorder="1" applyAlignment="1">
      <alignment wrapText="1"/>
    </xf>
    <xf numFmtId="0" fontId="14" fillId="0" borderId="23" xfId="0" applyFont="1" applyBorder="1" applyAlignment="1">
      <alignment horizontal="left" vertical="top" wrapText="1"/>
    </xf>
    <xf numFmtId="0" fontId="13" fillId="0" borderId="21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20" fontId="13" fillId="0" borderId="11" xfId="0" applyNumberFormat="1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3" fillId="0" borderId="24" xfId="0" applyFont="1" applyBorder="1" applyAlignment="1">
      <alignment horizontal="center" vertical="top" wrapText="1"/>
    </xf>
    <xf numFmtId="0" fontId="14" fillId="0" borderId="24" xfId="0" applyFont="1" applyBorder="1" applyAlignment="1">
      <alignment horizontal="center" vertical="top" wrapText="1"/>
    </xf>
    <xf numFmtId="0" fontId="14" fillId="0" borderId="25" xfId="0" applyFont="1" applyBorder="1" applyAlignment="1">
      <alignment horizontal="center" vertical="top" wrapText="1"/>
    </xf>
    <xf numFmtId="0" fontId="13" fillId="0" borderId="21" xfId="0" applyFont="1" applyBorder="1" applyAlignment="1">
      <alignment horizontal="center" vertical="top" wrapText="1"/>
    </xf>
    <xf numFmtId="0" fontId="14" fillId="0" borderId="21" xfId="0" applyFont="1" applyBorder="1" applyAlignment="1">
      <alignment horizontal="center" vertical="top" wrapText="1"/>
    </xf>
    <xf numFmtId="0" fontId="13" fillId="0" borderId="11" xfId="0" applyFont="1" applyBorder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3" fillId="10" borderId="11" xfId="0" applyFont="1" applyFill="1" applyBorder="1" applyAlignment="1">
      <alignment horizontal="center" vertical="top" wrapText="1"/>
    </xf>
    <xf numFmtId="0" fontId="13" fillId="7" borderId="11" xfId="0" applyFont="1" applyFill="1" applyBorder="1" applyAlignment="1">
      <alignment horizontal="center" vertical="top" wrapText="1"/>
    </xf>
    <xf numFmtId="0" fontId="13" fillId="12" borderId="11" xfId="0" applyFont="1" applyFill="1" applyBorder="1" applyAlignment="1">
      <alignment horizontal="center" vertical="top" wrapText="1"/>
    </xf>
    <xf numFmtId="0" fontId="13" fillId="13" borderId="11" xfId="0" applyFont="1" applyFill="1" applyBorder="1" applyAlignment="1">
      <alignment horizontal="center" vertical="top" wrapText="1"/>
    </xf>
    <xf numFmtId="0" fontId="13" fillId="6" borderId="11" xfId="0" applyFont="1" applyFill="1" applyBorder="1" applyAlignment="1">
      <alignment horizontal="center" vertical="top" wrapText="1"/>
    </xf>
    <xf numFmtId="0" fontId="13" fillId="14" borderId="11" xfId="0" applyFont="1" applyFill="1" applyBorder="1" applyAlignment="1">
      <alignment horizontal="center" vertical="top" wrapText="1"/>
    </xf>
    <xf numFmtId="0" fontId="0" fillId="0" borderId="23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0" fontId="14" fillId="0" borderId="32" xfId="0" applyFont="1" applyBorder="1" applyAlignment="1">
      <alignment horizontal="left" vertical="top" wrapText="1"/>
    </xf>
    <xf numFmtId="0" fontId="4" fillId="11" borderId="21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20" fontId="0" fillId="0" borderId="7" xfId="0" applyNumberFormat="1" applyBorder="1" applyAlignment="1">
      <alignment horizontal="center" vertical="top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2" fillId="5" borderId="21" xfId="0" applyFont="1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0" fillId="11" borderId="21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31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11" borderId="18" xfId="0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46" xfId="0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6" fillId="0" borderId="11" xfId="0" applyFont="1" applyBorder="1" applyAlignment="1">
      <alignment horizontal="center" vertical="top" wrapText="1"/>
    </xf>
    <xf numFmtId="0" fontId="14" fillId="6" borderId="11" xfId="0" applyFont="1" applyFill="1" applyBorder="1" applyAlignment="1">
      <alignment horizontal="left" vertical="top" wrapText="1"/>
    </xf>
    <xf numFmtId="0" fontId="0" fillId="0" borderId="11" xfId="0" applyBorder="1" applyAlignment="1">
      <alignment vertical="top"/>
    </xf>
    <xf numFmtId="0" fontId="0" fillId="3" borderId="11" xfId="0" applyFill="1" applyBorder="1" applyAlignment="1">
      <alignment horizontal="center" vertical="top"/>
    </xf>
    <xf numFmtId="0" fontId="0" fillId="11" borderId="11" xfId="0" applyFill="1" applyBorder="1" applyAlignment="1">
      <alignment horizontal="center" vertical="top"/>
    </xf>
    <xf numFmtId="0" fontId="16" fillId="0" borderId="11" xfId="0" applyFont="1" applyBorder="1" applyAlignment="1">
      <alignment horizontal="left" vertical="top" wrapText="1"/>
    </xf>
    <xf numFmtId="0" fontId="16" fillId="6" borderId="11" xfId="0" applyFont="1" applyFill="1" applyBorder="1" applyAlignment="1">
      <alignment horizontal="left" vertical="top" wrapText="1"/>
    </xf>
    <xf numFmtId="0" fontId="16" fillId="8" borderId="11" xfId="0" applyFont="1" applyFill="1" applyBorder="1" applyAlignment="1">
      <alignment horizontal="center" vertical="top" wrapText="1"/>
    </xf>
    <xf numFmtId="0" fontId="16" fillId="11" borderId="11" xfId="0" applyFont="1" applyFill="1" applyBorder="1" applyAlignment="1">
      <alignment horizontal="center" vertical="top" wrapText="1"/>
    </xf>
    <xf numFmtId="0" fontId="17" fillId="8" borderId="11" xfId="0" applyFont="1" applyFill="1" applyBorder="1" applyAlignment="1">
      <alignment horizontal="center" vertical="top" wrapText="1"/>
    </xf>
    <xf numFmtId="0" fontId="16" fillId="3" borderId="11" xfId="0" applyFont="1" applyFill="1" applyBorder="1" applyAlignment="1">
      <alignment horizontal="center" vertical="top" wrapText="1"/>
    </xf>
    <xf numFmtId="0" fontId="17" fillId="11" borderId="11" xfId="0" applyFont="1" applyFill="1" applyBorder="1" applyAlignment="1">
      <alignment horizontal="center" vertical="top" wrapText="1"/>
    </xf>
    <xf numFmtId="20" fontId="16" fillId="6" borderId="11" xfId="0" applyNumberFormat="1" applyFont="1" applyFill="1" applyBorder="1" applyAlignment="1">
      <alignment horizontal="left" vertical="top" wrapText="1"/>
    </xf>
    <xf numFmtId="20" fontId="16" fillId="0" borderId="11" xfId="0" applyNumberFormat="1" applyFont="1" applyBorder="1" applyAlignment="1">
      <alignment horizontal="left" vertical="top" wrapText="1"/>
    </xf>
    <xf numFmtId="0" fontId="17" fillId="3" borderId="11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0" fillId="8" borderId="11" xfId="0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vertical="center" wrapText="1"/>
    </xf>
    <xf numFmtId="0" fontId="16" fillId="0" borderId="11" xfId="0" applyFont="1" applyBorder="1" applyAlignment="1">
      <alignment horizontal="center" vertical="center" wrapText="1"/>
    </xf>
    <xf numFmtId="0" fontId="18" fillId="13" borderId="11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center" vertical="top" wrapText="1"/>
    </xf>
    <xf numFmtId="0" fontId="17" fillId="13" borderId="11" xfId="0" applyFont="1" applyFill="1" applyBorder="1" applyAlignment="1">
      <alignment horizontal="center" vertical="top" wrapText="1"/>
    </xf>
    <xf numFmtId="0" fontId="8" fillId="15" borderId="11" xfId="0" applyFont="1" applyFill="1" applyBorder="1" applyAlignment="1">
      <alignment horizontal="center" vertical="top" wrapText="1"/>
    </xf>
    <xf numFmtId="0" fontId="16" fillId="5" borderId="11" xfId="0" applyFont="1" applyFill="1" applyBorder="1" applyAlignment="1">
      <alignment horizontal="center" vertical="top" wrapText="1"/>
    </xf>
    <xf numFmtId="0" fontId="17" fillId="5" borderId="11" xfId="0" applyFont="1" applyFill="1" applyBorder="1" applyAlignment="1">
      <alignment horizontal="center" vertical="top" wrapText="1"/>
    </xf>
    <xf numFmtId="0" fontId="14" fillId="5" borderId="11" xfId="0" applyFont="1" applyFill="1" applyBorder="1" applyAlignment="1">
      <alignment horizontal="center" vertical="top" wrapText="1"/>
    </xf>
    <xf numFmtId="20" fontId="16" fillId="5" borderId="11" xfId="0" applyNumberFormat="1" applyFont="1" applyFill="1" applyBorder="1" applyAlignment="1">
      <alignment horizontal="center" vertical="top" wrapText="1"/>
    </xf>
    <xf numFmtId="0" fontId="16" fillId="16" borderId="11" xfId="0" applyFont="1" applyFill="1" applyBorder="1" applyAlignment="1">
      <alignment horizontal="center" vertical="top" wrapText="1"/>
    </xf>
    <xf numFmtId="0" fontId="14" fillId="16" borderId="11" xfId="0" applyFont="1" applyFill="1" applyBorder="1" applyAlignment="1">
      <alignment horizontal="center" vertical="top" wrapText="1"/>
    </xf>
    <xf numFmtId="0" fontId="17" fillId="16" borderId="11" xfId="0" applyFont="1" applyFill="1" applyBorder="1" applyAlignment="1">
      <alignment horizontal="center" vertical="top" wrapText="1"/>
    </xf>
    <xf numFmtId="0" fontId="16" fillId="7" borderId="11" xfId="0" applyFont="1" applyFill="1" applyBorder="1" applyAlignment="1">
      <alignment horizontal="center" vertical="top" wrapText="1"/>
    </xf>
    <xf numFmtId="0" fontId="0" fillId="7" borderId="1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top" wrapText="1"/>
    </xf>
    <xf numFmtId="0" fontId="19" fillId="5" borderId="11" xfId="0" applyFont="1" applyFill="1" applyBorder="1" applyAlignment="1">
      <alignment horizontal="center" vertical="top" wrapText="1"/>
    </xf>
    <xf numFmtId="0" fontId="14" fillId="0" borderId="11" xfId="0" applyFont="1" applyBorder="1" applyAlignment="1">
      <alignment vertical="center" wrapText="1"/>
    </xf>
    <xf numFmtId="0" fontId="16" fillId="4" borderId="11" xfId="0" applyFont="1" applyFill="1" applyBorder="1" applyAlignment="1">
      <alignment horizontal="center" vertical="top" wrapText="1"/>
    </xf>
    <xf numFmtId="0" fontId="14" fillId="7" borderId="11" xfId="0" applyFont="1" applyFill="1" applyBorder="1" applyAlignment="1">
      <alignment vertical="center" wrapText="1"/>
    </xf>
    <xf numFmtId="0" fontId="14" fillId="0" borderId="11" xfId="0" applyFont="1" applyBorder="1" applyAlignment="1">
      <alignment horizontal="center" vertical="center" wrapText="1"/>
    </xf>
    <xf numFmtId="0" fontId="16" fillId="13" borderId="11" xfId="0" applyFont="1" applyFill="1" applyBorder="1" applyAlignment="1">
      <alignment horizontal="center" vertical="top" wrapText="1"/>
    </xf>
    <xf numFmtId="0" fontId="18" fillId="5" borderId="11" xfId="0" applyFont="1" applyFill="1" applyBorder="1" applyAlignment="1">
      <alignment horizontal="center" vertical="top" wrapText="1"/>
    </xf>
    <xf numFmtId="20" fontId="16" fillId="7" borderId="11" xfId="0" applyNumberFormat="1" applyFont="1" applyFill="1" applyBorder="1" applyAlignment="1">
      <alignment horizontal="center" vertical="top" wrapText="1"/>
    </xf>
    <xf numFmtId="0" fontId="20" fillId="5" borderId="11" xfId="0" applyFont="1" applyFill="1" applyBorder="1" applyAlignment="1">
      <alignment horizontal="center" vertical="top" wrapText="1"/>
    </xf>
    <xf numFmtId="0" fontId="21" fillId="0" borderId="11" xfId="0" applyFont="1" applyBorder="1" applyAlignment="1">
      <alignment vertical="center" wrapText="1"/>
    </xf>
    <xf numFmtId="0" fontId="16" fillId="11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vertical="center" wrapText="1"/>
    </xf>
    <xf numFmtId="16" fontId="0" fillId="0" borderId="5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8" xfId="0" applyFill="1" applyBorder="1" applyAlignment="1">
      <alignment horizontal="center"/>
    </xf>
    <xf numFmtId="0" fontId="0" fillId="13" borderId="0" xfId="0" applyFill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20" fontId="0" fillId="0" borderId="35" xfId="0" applyNumberForma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9" fontId="0" fillId="0" borderId="8" xfId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9" fontId="0" fillId="0" borderId="57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35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11" borderId="24" xfId="0" applyFont="1" applyFill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0" fontId="7" fillId="5" borderId="2" xfId="0" applyFont="1" applyFill="1" applyBorder="1" applyAlignment="1">
      <alignment horizontal="center" vertical="center" wrapText="1"/>
    </xf>
    <xf numFmtId="16" fontId="7" fillId="5" borderId="45" xfId="0" applyNumberFormat="1" applyFont="1" applyFill="1" applyBorder="1" applyAlignment="1">
      <alignment horizontal="center" vertical="center" wrapText="1"/>
    </xf>
    <xf numFmtId="0" fontId="0" fillId="5" borderId="53" xfId="0" applyFill="1" applyBorder="1" applyAlignment="1">
      <alignment horizontal="center" wrapText="1"/>
    </xf>
    <xf numFmtId="0" fontId="0" fillId="5" borderId="36" xfId="0" applyFill="1" applyBorder="1" applyAlignment="1">
      <alignment horizontal="center" wrapText="1"/>
    </xf>
    <xf numFmtId="0" fontId="0" fillId="5" borderId="37" xfId="0" applyFill="1" applyBorder="1" applyAlignment="1">
      <alignment horizontal="center" wrapText="1"/>
    </xf>
    <xf numFmtId="16" fontId="7" fillId="5" borderId="7" xfId="0" applyNumberFormat="1" applyFont="1" applyFill="1" applyBorder="1" applyAlignment="1">
      <alignment horizontal="center" vertical="center" wrapText="1"/>
    </xf>
    <xf numFmtId="16" fontId="7" fillId="5" borderId="1" xfId="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vertical="top"/>
    </xf>
    <xf numFmtId="0" fontId="0" fillId="7" borderId="11" xfId="0" applyFill="1" applyBorder="1" applyAlignment="1">
      <alignment vertical="top"/>
    </xf>
    <xf numFmtId="20" fontId="16" fillId="0" borderId="11" xfId="0" applyNumberFormat="1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20" fontId="16" fillId="7" borderId="11" xfId="0" applyNumberFormat="1" applyFont="1" applyFill="1" applyBorder="1" applyAlignment="1">
      <alignment horizontal="center" wrapText="1"/>
    </xf>
    <xf numFmtId="0" fontId="17" fillId="5" borderId="41" xfId="0" applyFont="1" applyFill="1" applyBorder="1" applyAlignment="1">
      <alignment horizontal="center" vertical="top" wrapText="1"/>
    </xf>
    <xf numFmtId="0" fontId="17" fillId="5" borderId="40" xfId="0" applyFont="1" applyFill="1" applyBorder="1" applyAlignment="1">
      <alignment horizontal="center" vertical="top" wrapText="1"/>
    </xf>
    <xf numFmtId="0" fontId="17" fillId="5" borderId="34" xfId="0" applyFont="1" applyFill="1" applyBorder="1" applyAlignment="1">
      <alignment horizontal="center" vertical="top" wrapText="1"/>
    </xf>
    <xf numFmtId="0" fontId="17" fillId="15" borderId="41" xfId="0" applyFont="1" applyFill="1" applyBorder="1" applyAlignment="1">
      <alignment horizontal="center" vertical="top" wrapText="1"/>
    </xf>
    <xf numFmtId="0" fontId="17" fillId="15" borderId="40" xfId="0" applyFont="1" applyFill="1" applyBorder="1" applyAlignment="1">
      <alignment horizontal="center" vertical="top" wrapText="1"/>
    </xf>
    <xf numFmtId="0" fontId="17" fillId="15" borderId="34" xfId="0" applyFont="1" applyFill="1" applyBorder="1" applyAlignment="1">
      <alignment horizontal="center" vertical="top" wrapText="1"/>
    </xf>
    <xf numFmtId="0" fontId="0" fillId="7" borderId="11" xfId="0" applyFill="1" applyBorder="1" applyAlignment="1">
      <alignment horizontal="center"/>
    </xf>
    <xf numFmtId="0" fontId="0" fillId="0" borderId="11" xfId="0" applyBorder="1"/>
    <xf numFmtId="0" fontId="17" fillId="0" borderId="11" xfId="0" applyFont="1" applyBorder="1" applyAlignment="1">
      <alignment vertical="top" wrapText="1"/>
    </xf>
    <xf numFmtId="0" fontId="0" fillId="8" borderId="11" xfId="0" applyFill="1" applyBorder="1"/>
    <xf numFmtId="0" fontId="0" fillId="8" borderId="11" xfId="0" applyFill="1" applyBorder="1" applyAlignment="1">
      <alignment horizontal="center"/>
    </xf>
    <xf numFmtId="0" fontId="0" fillId="0" borderId="21" xfId="0" applyBorder="1"/>
    <xf numFmtId="0" fontId="0" fillId="9" borderId="7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8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20" fontId="0" fillId="3" borderId="0" xfId="0" applyNumberFormat="1" applyFill="1" applyAlignment="1">
      <alignment horizontal="center"/>
    </xf>
    <xf numFmtId="0" fontId="0" fillId="3" borderId="9" xfId="0" applyFill="1" applyBorder="1" applyAlignment="1">
      <alignment horizontal="center"/>
    </xf>
    <xf numFmtId="16" fontId="0" fillId="3" borderId="10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3" fillId="0" borderId="0" xfId="0" applyFont="1" applyAlignment="1">
      <alignment horizontal="center"/>
    </xf>
    <xf numFmtId="0" fontId="0" fillId="0" borderId="3" xfId="0" applyBorder="1"/>
    <xf numFmtId="0" fontId="23" fillId="18" borderId="52" xfId="0" applyFont="1" applyFill="1" applyBorder="1" applyAlignment="1">
      <alignment horizontal="center"/>
    </xf>
    <xf numFmtId="0" fontId="23" fillId="18" borderId="6" xfId="0" applyFont="1" applyFill="1" applyBorder="1" applyAlignment="1">
      <alignment horizontal="center"/>
    </xf>
    <xf numFmtId="0" fontId="24" fillId="18" borderId="54" xfId="0" applyFont="1" applyFill="1" applyBorder="1" applyAlignment="1">
      <alignment horizontal="center" vertical="center"/>
    </xf>
    <xf numFmtId="0" fontId="23" fillId="18" borderId="52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18" borderId="53" xfId="0" applyFont="1" applyFill="1" applyBorder="1" applyAlignment="1">
      <alignment horizontal="center" vertical="center"/>
    </xf>
    <xf numFmtId="0" fontId="25" fillId="18" borderId="39" xfId="0" applyFont="1" applyFill="1" applyBorder="1" applyAlignment="1">
      <alignment horizontal="center" vertical="center"/>
    </xf>
    <xf numFmtId="0" fontId="23" fillId="18" borderId="12" xfId="0" applyFont="1" applyFill="1" applyBorder="1" applyAlignment="1">
      <alignment horizontal="center" vertical="center"/>
    </xf>
    <xf numFmtId="0" fontId="23" fillId="18" borderId="42" xfId="0" applyFont="1" applyFill="1" applyBorder="1" applyAlignment="1">
      <alignment horizontal="center" vertical="center"/>
    </xf>
    <xf numFmtId="0" fontId="23" fillId="18" borderId="59" xfId="0" applyFont="1" applyFill="1" applyBorder="1" applyAlignment="1">
      <alignment horizontal="center" vertical="center"/>
    </xf>
    <xf numFmtId="0" fontId="25" fillId="18" borderId="35" xfId="0" applyFont="1" applyFill="1" applyBorder="1" applyAlignment="1">
      <alignment horizontal="center" vertical="center"/>
    </xf>
    <xf numFmtId="0" fontId="25" fillId="18" borderId="55" xfId="0" applyFont="1" applyFill="1" applyBorder="1" applyAlignment="1">
      <alignment horizontal="center" vertical="center"/>
    </xf>
    <xf numFmtId="0" fontId="23" fillId="18" borderId="20" xfId="0" applyFont="1" applyFill="1" applyBorder="1" applyAlignment="1">
      <alignment horizontal="center" vertical="center"/>
    </xf>
    <xf numFmtId="0" fontId="23" fillId="18" borderId="33" xfId="0" applyFont="1" applyFill="1" applyBorder="1" applyAlignment="1">
      <alignment horizontal="center" vertical="center"/>
    </xf>
    <xf numFmtId="0" fontId="23" fillId="18" borderId="60" xfId="0" applyFont="1" applyFill="1" applyBorder="1" applyAlignment="1">
      <alignment horizontal="center" vertical="center"/>
    </xf>
    <xf numFmtId="0" fontId="11" fillId="18" borderId="35" xfId="0" applyFont="1" applyFill="1" applyBorder="1" applyAlignment="1">
      <alignment horizontal="center" vertical="center"/>
    </xf>
    <xf numFmtId="0" fontId="11" fillId="18" borderId="55" xfId="0" applyFont="1" applyFill="1" applyBorder="1" applyAlignment="1">
      <alignment horizontal="center" vertical="center"/>
    </xf>
    <xf numFmtId="0" fontId="6" fillId="18" borderId="60" xfId="0" applyFont="1" applyFill="1" applyBorder="1" applyAlignment="1">
      <alignment horizontal="center" vertical="center"/>
    </xf>
    <xf numFmtId="0" fontId="6" fillId="18" borderId="35" xfId="0" applyFont="1" applyFill="1" applyBorder="1" applyAlignment="1">
      <alignment horizontal="center" vertical="center"/>
    </xf>
    <xf numFmtId="0" fontId="6" fillId="18" borderId="55" xfId="0" applyFont="1" applyFill="1" applyBorder="1" applyAlignment="1">
      <alignment horizontal="center" vertical="center"/>
    </xf>
    <xf numFmtId="0" fontId="23" fillId="18" borderId="35" xfId="0" applyFont="1" applyFill="1" applyBorder="1" applyAlignment="1">
      <alignment horizontal="center" vertical="center"/>
    </xf>
    <xf numFmtId="0" fontId="23" fillId="18" borderId="55" xfId="0" applyFont="1" applyFill="1" applyBorder="1" applyAlignment="1">
      <alignment horizontal="center" vertical="center"/>
    </xf>
    <xf numFmtId="0" fontId="23" fillId="17" borderId="35" xfId="0" applyFont="1" applyFill="1" applyBorder="1" applyAlignment="1">
      <alignment horizontal="center" vertical="center"/>
    </xf>
    <xf numFmtId="0" fontId="23" fillId="17" borderId="55" xfId="0" applyFont="1" applyFill="1" applyBorder="1" applyAlignment="1">
      <alignment horizontal="center" vertical="center"/>
    </xf>
    <xf numFmtId="0" fontId="23" fillId="17" borderId="48" xfId="0" applyFont="1" applyFill="1" applyBorder="1" applyAlignment="1">
      <alignment horizontal="center" vertical="center"/>
    </xf>
    <xf numFmtId="0" fontId="23" fillId="17" borderId="61" xfId="0" applyFont="1" applyFill="1" applyBorder="1" applyAlignment="1">
      <alignment horizontal="center" vertical="center"/>
    </xf>
    <xf numFmtId="0" fontId="23" fillId="17" borderId="57" xfId="0" applyFont="1" applyFill="1" applyBorder="1" applyAlignment="1">
      <alignment horizontal="center" vertical="center"/>
    </xf>
    <xf numFmtId="0" fontId="25" fillId="18" borderId="60" xfId="0" applyFont="1" applyFill="1" applyBorder="1" applyAlignment="1">
      <alignment horizontal="center" vertical="center"/>
    </xf>
    <xf numFmtId="0" fontId="11" fillId="18" borderId="60" xfId="0" applyFont="1" applyFill="1" applyBorder="1" applyAlignment="1">
      <alignment horizontal="center" vertical="center"/>
    </xf>
    <xf numFmtId="0" fontId="23" fillId="18" borderId="51" xfId="0" applyFont="1" applyFill="1" applyBorder="1" applyAlignment="1">
      <alignment horizontal="center" vertical="center"/>
    </xf>
    <xf numFmtId="0" fontId="23" fillId="18" borderId="57" xfId="0" applyFont="1" applyFill="1" applyBorder="1" applyAlignment="1">
      <alignment horizontal="center" vertical="center"/>
    </xf>
    <xf numFmtId="16" fontId="0" fillId="3" borderId="0" xfId="0" applyNumberFormat="1" applyFill="1" applyAlignment="1">
      <alignment horizontal="center"/>
    </xf>
    <xf numFmtId="0" fontId="0" fillId="9" borderId="9" xfId="0" applyFill="1" applyBorder="1" applyAlignment="1">
      <alignment horizontal="center"/>
    </xf>
    <xf numFmtId="16" fontId="0" fillId="9" borderId="10" xfId="0" applyNumberForma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57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56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165" fontId="0" fillId="9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5" fontId="0" fillId="3" borderId="10" xfId="0" applyNumberFormat="1" applyFill="1" applyBorder="1" applyAlignment="1">
      <alignment horizontal="center"/>
    </xf>
    <xf numFmtId="0" fontId="0" fillId="0" borderId="2" xfId="0" applyBorder="1"/>
    <xf numFmtId="0" fontId="0" fillId="0" borderId="18" xfId="0" applyBorder="1"/>
    <xf numFmtId="0" fontId="0" fillId="0" borderId="33" xfId="0" applyBorder="1"/>
    <xf numFmtId="0" fontId="0" fillId="0" borderId="34" xfId="0" applyBorder="1"/>
    <xf numFmtId="0" fontId="0" fillId="8" borderId="34" xfId="0" applyFill="1" applyBorder="1"/>
    <xf numFmtId="0" fontId="0" fillId="0" borderId="43" xfId="0" applyBorder="1"/>
    <xf numFmtId="164" fontId="0" fillId="0" borderId="0" xfId="0" applyNumberFormat="1"/>
    <xf numFmtId="8" fontId="0" fillId="0" borderId="34" xfId="0" applyNumberFormat="1" applyBorder="1"/>
    <xf numFmtId="0" fontId="14" fillId="7" borderId="11" xfId="0" applyFont="1" applyFill="1" applyBorder="1" applyAlignment="1">
      <alignment horizontal="center" vertical="center" wrapText="1"/>
    </xf>
    <xf numFmtId="0" fontId="31" fillId="24" borderId="11" xfId="0" applyFont="1" applyFill="1" applyBorder="1" applyAlignment="1">
      <alignment horizontal="center" vertical="center" wrapText="1"/>
    </xf>
    <xf numFmtId="0" fontId="32" fillId="25" borderId="11" xfId="0" applyFont="1" applyFill="1" applyBorder="1" applyAlignment="1">
      <alignment horizontal="center" vertical="center"/>
    </xf>
    <xf numFmtId="0" fontId="33" fillId="25" borderId="11" xfId="0" applyFont="1" applyFill="1" applyBorder="1" applyAlignment="1">
      <alignment horizontal="center" vertical="center" wrapText="1"/>
    </xf>
    <xf numFmtId="0" fontId="34" fillId="26" borderId="11" xfId="0" applyFont="1" applyFill="1" applyBorder="1" applyAlignment="1">
      <alignment horizontal="center" vertical="center" wrapText="1"/>
    </xf>
    <xf numFmtId="0" fontId="34" fillId="24" borderId="11" xfId="0" applyFont="1" applyFill="1" applyBorder="1" applyAlignment="1">
      <alignment horizontal="center" vertical="center" wrapText="1"/>
    </xf>
    <xf numFmtId="0" fontId="35" fillId="27" borderId="11" xfId="0" applyFont="1" applyFill="1" applyBorder="1" applyAlignment="1">
      <alignment horizontal="center" vertical="center" wrapText="1"/>
    </xf>
    <xf numFmtId="0" fontId="34" fillId="28" borderId="11" xfId="0" applyFont="1" applyFill="1" applyBorder="1" applyAlignment="1">
      <alignment horizontal="center" vertical="center" wrapText="1"/>
    </xf>
    <xf numFmtId="0" fontId="35" fillId="29" borderId="11" xfId="0" applyFont="1" applyFill="1" applyBorder="1" applyAlignment="1">
      <alignment horizontal="center" vertical="center" wrapText="1"/>
    </xf>
    <xf numFmtId="0" fontId="35" fillId="30" borderId="11" xfId="0" applyFont="1" applyFill="1" applyBorder="1" applyAlignment="1">
      <alignment horizontal="center" vertical="center" wrapText="1"/>
    </xf>
    <xf numFmtId="0" fontId="35" fillId="31" borderId="11" xfId="0" applyFont="1" applyFill="1" applyBorder="1" applyAlignment="1">
      <alignment horizontal="center" vertical="center" wrapText="1"/>
    </xf>
    <xf numFmtId="0" fontId="34" fillId="32" borderId="11" xfId="0" applyFont="1" applyFill="1" applyBorder="1" applyAlignment="1">
      <alignment horizontal="center" vertical="center" wrapText="1"/>
    </xf>
    <xf numFmtId="0" fontId="33" fillId="21" borderId="11" xfId="0" applyFont="1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20" fontId="0" fillId="0" borderId="52" xfId="0" applyNumberFormat="1" applyBorder="1" applyAlignment="1">
      <alignment horizontal="center" vertical="top"/>
    </xf>
    <xf numFmtId="20" fontId="0" fillId="0" borderId="50" xfId="0" applyNumberFormat="1" applyBorder="1" applyAlignment="1">
      <alignment horizontal="center" vertical="top"/>
    </xf>
    <xf numFmtId="0" fontId="0" fillId="0" borderId="44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6" borderId="44" xfId="0" applyFill="1" applyBorder="1" applyAlignment="1">
      <alignment horizontal="center" vertical="center" wrapText="1"/>
    </xf>
    <xf numFmtId="0" fontId="0" fillId="6" borderId="48" xfId="0" applyFill="1" applyBorder="1" applyAlignment="1">
      <alignment horizontal="center" vertical="center" wrapText="1"/>
    </xf>
    <xf numFmtId="0" fontId="0" fillId="19" borderId="44" xfId="0" applyFill="1" applyBorder="1" applyAlignment="1">
      <alignment horizontal="center" vertical="center" wrapText="1"/>
    </xf>
    <xf numFmtId="0" fontId="0" fillId="19" borderId="48" xfId="0" applyFill="1" applyBorder="1" applyAlignment="1">
      <alignment horizontal="center" vertical="center" wrapText="1"/>
    </xf>
    <xf numFmtId="0" fontId="0" fillId="16" borderId="44" xfId="0" applyFill="1" applyBorder="1" applyAlignment="1">
      <alignment horizontal="center" vertical="center" wrapText="1"/>
    </xf>
    <xf numFmtId="0" fontId="0" fillId="16" borderId="48" xfId="0" applyFill="1" applyBorder="1" applyAlignment="1">
      <alignment horizontal="center" vertical="center" wrapText="1"/>
    </xf>
    <xf numFmtId="0" fontId="0" fillId="9" borderId="44" xfId="0" applyFill="1" applyBorder="1" applyAlignment="1">
      <alignment horizontal="center" vertical="center" wrapText="1"/>
    </xf>
    <xf numFmtId="0" fontId="0" fillId="9" borderId="48" xfId="0" applyFill="1" applyBorder="1" applyAlignment="1">
      <alignment horizontal="center" vertical="center" wrapText="1"/>
    </xf>
    <xf numFmtId="0" fontId="0" fillId="6" borderId="52" xfId="0" applyFill="1" applyBorder="1" applyAlignment="1">
      <alignment horizontal="center" vertical="center" wrapText="1"/>
    </xf>
    <xf numFmtId="0" fontId="0" fillId="6" borderId="51" xfId="0" applyFill="1" applyBorder="1" applyAlignment="1">
      <alignment horizontal="center" vertical="center" wrapText="1"/>
    </xf>
    <xf numFmtId="0" fontId="0" fillId="13" borderId="52" xfId="0" applyFill="1" applyBorder="1" applyAlignment="1">
      <alignment horizontal="center" vertical="center" wrapText="1"/>
    </xf>
    <xf numFmtId="0" fontId="0" fillId="13" borderId="51" xfId="0" applyFill="1" applyBorder="1" applyAlignment="1">
      <alignment horizontal="center" vertical="center" wrapText="1"/>
    </xf>
    <xf numFmtId="0" fontId="0" fillId="13" borderId="44" xfId="0" applyFill="1" applyBorder="1" applyAlignment="1">
      <alignment horizontal="center" vertical="center" wrapText="1"/>
    </xf>
    <xf numFmtId="0" fontId="0" fillId="13" borderId="48" xfId="0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29" fillId="13" borderId="44" xfId="0" applyFont="1" applyFill="1" applyBorder="1" applyAlignment="1">
      <alignment horizontal="center" vertical="center" wrapText="1"/>
    </xf>
    <xf numFmtId="0" fontId="29" fillId="13" borderId="48" xfId="0" applyFont="1" applyFill="1" applyBorder="1" applyAlignment="1">
      <alignment horizontal="center" vertical="center" wrapText="1"/>
    </xf>
    <xf numFmtId="0" fontId="29" fillId="13" borderId="52" xfId="0" applyFont="1" applyFill="1" applyBorder="1" applyAlignment="1">
      <alignment horizontal="center" vertical="center" wrapText="1"/>
    </xf>
    <xf numFmtId="0" fontId="29" fillId="13" borderId="51" xfId="0" applyFont="1" applyFill="1" applyBorder="1" applyAlignment="1">
      <alignment horizontal="center" vertical="center" wrapText="1"/>
    </xf>
    <xf numFmtId="0" fontId="0" fillId="20" borderId="44" xfId="0" applyFill="1" applyBorder="1" applyAlignment="1">
      <alignment horizontal="center" vertical="center" wrapText="1"/>
    </xf>
    <xf numFmtId="0" fontId="0" fillId="20" borderId="48" xfId="0" applyFill="1" applyBorder="1" applyAlignment="1">
      <alignment horizontal="center" vertical="center" wrapText="1"/>
    </xf>
    <xf numFmtId="0" fontId="0" fillId="11" borderId="44" xfId="0" applyFill="1" applyBorder="1" applyAlignment="1">
      <alignment horizontal="center" vertical="center" wrapText="1"/>
    </xf>
    <xf numFmtId="0" fontId="0" fillId="11" borderId="48" xfId="0" applyFill="1" applyBorder="1" applyAlignment="1">
      <alignment horizontal="center" vertical="center" wrapText="1"/>
    </xf>
    <xf numFmtId="20" fontId="0" fillId="0" borderId="52" xfId="0" applyNumberFormat="1" applyBorder="1" applyAlignment="1">
      <alignment horizontal="center" vertical="top" wrapText="1"/>
    </xf>
    <xf numFmtId="20" fontId="0" fillId="0" borderId="51" xfId="0" applyNumberFormat="1" applyBorder="1" applyAlignment="1">
      <alignment horizontal="center" vertical="top"/>
    </xf>
    <xf numFmtId="0" fontId="0" fillId="0" borderId="3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0" fillId="22" borderId="11" xfId="0" applyFont="1" applyFill="1" applyBorder="1" applyAlignment="1">
      <alignment horizontal="center" vertical="center" wrapText="1"/>
    </xf>
    <xf numFmtId="0" fontId="0" fillId="0" borderId="0" xfId="0"/>
    <xf numFmtId="0" fontId="31" fillId="23" borderId="1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58" xfId="0" applyFill="1" applyBorder="1" applyAlignment="1">
      <alignment horizontal="center" vertical="center" wrapText="1"/>
    </xf>
    <xf numFmtId="0" fontId="0" fillId="5" borderId="47" xfId="0" applyFill="1" applyBorder="1" applyAlignment="1">
      <alignment horizontal="center" vertical="center" wrapText="1"/>
    </xf>
    <xf numFmtId="0" fontId="7" fillId="5" borderId="49" xfId="0" applyFont="1" applyFill="1" applyBorder="1" applyAlignment="1">
      <alignment horizontal="center" vertical="center" wrapText="1"/>
    </xf>
    <xf numFmtId="0" fontId="7" fillId="5" borderId="50" xfId="0" applyFont="1" applyFill="1" applyBorder="1" applyAlignment="1">
      <alignment horizontal="center" vertical="center" wrapText="1"/>
    </xf>
    <xf numFmtId="0" fontId="7" fillId="5" borderId="51" xfId="0" applyFont="1" applyFill="1" applyBorder="1" applyAlignment="1">
      <alignment horizontal="center" vertical="center" wrapText="1"/>
    </xf>
    <xf numFmtId="0" fontId="0" fillId="6" borderId="52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6" fontId="0" fillId="0" borderId="2" xfId="0" applyNumberForma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11" borderId="11" xfId="0" applyFill="1" applyBorder="1" applyAlignment="1">
      <alignment horizontal="center" vertical="top" wrapText="1"/>
    </xf>
    <xf numFmtId="0" fontId="0" fillId="11" borderId="11" xfId="0" applyFill="1" applyBorder="1" applyAlignment="1">
      <alignment horizontal="center" vertical="top"/>
    </xf>
    <xf numFmtId="0" fontId="0" fillId="9" borderId="11" xfId="0" applyFill="1" applyBorder="1" applyAlignment="1">
      <alignment horizontal="center" vertical="top" wrapText="1"/>
    </xf>
    <xf numFmtId="0" fontId="16" fillId="7" borderId="41" xfId="0" applyFont="1" applyFill="1" applyBorder="1" applyAlignment="1">
      <alignment horizontal="center" vertical="top" wrapText="1"/>
    </xf>
    <xf numFmtId="0" fontId="16" fillId="7" borderId="40" xfId="0" applyFont="1" applyFill="1" applyBorder="1" applyAlignment="1">
      <alignment horizontal="center" vertical="top" wrapText="1"/>
    </xf>
    <xf numFmtId="0" fontId="16" fillId="7" borderId="34" xfId="0" applyFont="1" applyFill="1" applyBorder="1" applyAlignment="1">
      <alignment horizontal="center" vertical="top" wrapText="1"/>
    </xf>
    <xf numFmtId="0" fontId="16" fillId="9" borderId="41" xfId="0" applyFont="1" applyFill="1" applyBorder="1" applyAlignment="1">
      <alignment horizontal="center" vertical="top" wrapText="1"/>
    </xf>
    <xf numFmtId="0" fontId="16" fillId="9" borderId="40" xfId="0" applyFont="1" applyFill="1" applyBorder="1" applyAlignment="1">
      <alignment horizontal="center" vertical="top" wrapText="1"/>
    </xf>
    <xf numFmtId="0" fontId="16" fillId="9" borderId="34" xfId="0" applyFont="1" applyFill="1" applyBorder="1" applyAlignment="1">
      <alignment horizontal="center" vertical="top" wrapText="1"/>
    </xf>
    <xf numFmtId="0" fontId="16" fillId="3" borderId="11" xfId="0" applyFont="1" applyFill="1" applyBorder="1" applyAlignment="1">
      <alignment horizontal="center" vertical="center" wrapText="1"/>
    </xf>
    <xf numFmtId="0" fontId="0" fillId="3" borderId="44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 wrapText="1"/>
    </xf>
    <xf numFmtId="0" fontId="0" fillId="7" borderId="44" xfId="0" applyFill="1" applyBorder="1" applyAlignment="1">
      <alignment horizontal="center" vertical="center" wrapText="1"/>
    </xf>
    <xf numFmtId="0" fontId="0" fillId="7" borderId="48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11" borderId="52" xfId="0" applyFill="1" applyBorder="1" applyAlignment="1">
      <alignment horizontal="center" vertical="center" wrapText="1"/>
    </xf>
    <xf numFmtId="0" fontId="0" fillId="11" borderId="51" xfId="0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13</xdr:row>
      <xdr:rowOff>133115</xdr:rowOff>
    </xdr:from>
    <xdr:to>
      <xdr:col>11</xdr:col>
      <xdr:colOff>658048</xdr:colOff>
      <xdr:row>34</xdr:row>
      <xdr:rowOff>46341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67D772-622B-F5A3-4065-D017510C1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352815"/>
          <a:ext cx="11897548" cy="4180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53A0-5152-304C-BAB3-9168921BDF13}">
  <dimension ref="A1:T53"/>
  <sheetViews>
    <sheetView tabSelected="1" topLeftCell="A13" zoomScale="83" workbookViewId="0">
      <selection activeCell="K35" sqref="K35:K36"/>
    </sheetView>
  </sheetViews>
  <sheetFormatPr baseColWidth="10" defaultColWidth="12.6640625" defaultRowHeight="28" customHeight="1" x14ac:dyDescent="0.2"/>
  <cols>
    <col min="1" max="1" width="30.1640625" customWidth="1"/>
  </cols>
  <sheetData>
    <row r="1" spans="1:19" ht="28" customHeight="1" x14ac:dyDescent="0.2">
      <c r="A1" s="42" t="s">
        <v>106</v>
      </c>
      <c r="K1" s="42" t="s">
        <v>106</v>
      </c>
    </row>
    <row r="2" spans="1:19" ht="28" customHeight="1" x14ac:dyDescent="0.2">
      <c r="A2" s="21" t="s">
        <v>107</v>
      </c>
      <c r="K2" s="21" t="s">
        <v>107</v>
      </c>
    </row>
    <row r="3" spans="1:19" ht="28" customHeight="1" x14ac:dyDescent="0.2">
      <c r="A3" s="77" t="s">
        <v>319</v>
      </c>
      <c r="K3" s="77" t="s">
        <v>319</v>
      </c>
    </row>
    <row r="4" spans="1:19" ht="28" customHeight="1" thickBot="1" x14ac:dyDescent="0.25">
      <c r="A4" s="154" t="s">
        <v>320</v>
      </c>
      <c r="K4" s="154" t="s">
        <v>320</v>
      </c>
    </row>
    <row r="5" spans="1:19" ht="28" customHeight="1" thickBot="1" x14ac:dyDescent="0.25">
      <c r="A5" s="283" t="s">
        <v>394</v>
      </c>
      <c r="B5" s="284"/>
      <c r="C5" s="284"/>
      <c r="D5" s="284"/>
      <c r="E5" s="284"/>
      <c r="F5" s="284"/>
      <c r="G5" s="284"/>
      <c r="H5" s="285"/>
      <c r="I5" s="1"/>
      <c r="K5" s="283" t="s">
        <v>395</v>
      </c>
      <c r="L5" s="284"/>
      <c r="M5" s="284"/>
      <c r="N5" s="284"/>
      <c r="O5" s="284"/>
      <c r="P5" s="284"/>
      <c r="Q5" s="284"/>
      <c r="R5" s="285"/>
      <c r="S5" s="1"/>
    </row>
    <row r="6" spans="1:19" ht="28" customHeight="1" thickBot="1" x14ac:dyDescent="0.25">
      <c r="A6" s="8"/>
      <c r="B6" s="6" t="s">
        <v>47</v>
      </c>
      <c r="C6" s="6" t="s">
        <v>48</v>
      </c>
      <c r="D6" s="6" t="s">
        <v>49</v>
      </c>
      <c r="E6" s="6" t="s">
        <v>50</v>
      </c>
      <c r="F6" s="6" t="s">
        <v>51</v>
      </c>
      <c r="G6" s="6" t="s">
        <v>52</v>
      </c>
      <c r="H6" s="7" t="s">
        <v>53</v>
      </c>
      <c r="I6" s="1"/>
      <c r="K6" s="8"/>
      <c r="L6" s="6" t="s">
        <v>47</v>
      </c>
      <c r="M6" s="6" t="s">
        <v>48</v>
      </c>
      <c r="N6" s="6" t="s">
        <v>49</v>
      </c>
      <c r="O6" s="6" t="s">
        <v>50</v>
      </c>
      <c r="P6" s="6" t="s">
        <v>51</v>
      </c>
      <c r="Q6" s="6" t="s">
        <v>52</v>
      </c>
      <c r="R6" s="7" t="s">
        <v>53</v>
      </c>
      <c r="S6" s="1"/>
    </row>
    <row r="7" spans="1:19" ht="28" customHeight="1" x14ac:dyDescent="0.2">
      <c r="A7" s="286">
        <v>0.25</v>
      </c>
      <c r="B7" s="288"/>
      <c r="C7" s="288"/>
      <c r="D7" s="288"/>
      <c r="E7" s="288"/>
      <c r="F7" s="288"/>
      <c r="G7" s="288"/>
      <c r="H7" s="288"/>
      <c r="I7" s="1"/>
      <c r="K7" s="286">
        <v>0.25</v>
      </c>
      <c r="L7" s="288">
        <f>B7</f>
        <v>0</v>
      </c>
      <c r="M7" s="288">
        <f t="shared" ref="M7:R7" si="0">C7</f>
        <v>0</v>
      </c>
      <c r="N7" s="288">
        <f t="shared" si="0"/>
        <v>0</v>
      </c>
      <c r="O7" s="288">
        <f t="shared" si="0"/>
        <v>0</v>
      </c>
      <c r="P7" s="288">
        <f t="shared" si="0"/>
        <v>0</v>
      </c>
      <c r="Q7" s="288">
        <f t="shared" si="0"/>
        <v>0</v>
      </c>
      <c r="R7" s="288">
        <f t="shared" si="0"/>
        <v>0</v>
      </c>
      <c r="S7" s="1"/>
    </row>
    <row r="8" spans="1:19" ht="28" customHeight="1" thickBot="1" x14ac:dyDescent="0.25">
      <c r="A8" s="287"/>
      <c r="B8" s="289"/>
      <c r="C8" s="289"/>
      <c r="D8" s="289"/>
      <c r="E8" s="289"/>
      <c r="F8" s="289"/>
      <c r="G8" s="289"/>
      <c r="H8" s="289"/>
      <c r="I8" s="1"/>
      <c r="K8" s="287"/>
      <c r="L8" s="289"/>
      <c r="M8" s="289"/>
      <c r="N8" s="289"/>
      <c r="O8" s="289"/>
      <c r="P8" s="289"/>
      <c r="Q8" s="289"/>
      <c r="R8" s="289"/>
      <c r="S8" s="1"/>
    </row>
    <row r="9" spans="1:19" ht="28" customHeight="1" x14ac:dyDescent="0.2">
      <c r="A9" s="286">
        <v>0.29166666666666702</v>
      </c>
      <c r="B9" s="288"/>
      <c r="C9" s="288"/>
      <c r="D9" s="288"/>
      <c r="E9" s="288"/>
      <c r="F9" s="288"/>
      <c r="G9" s="290" t="s">
        <v>43</v>
      </c>
      <c r="H9" s="290" t="s">
        <v>43</v>
      </c>
      <c r="I9" s="1"/>
      <c r="K9" s="286">
        <v>0.29166666666666702</v>
      </c>
      <c r="L9" s="288">
        <f t="shared" ref="L9:P9" si="1">B9</f>
        <v>0</v>
      </c>
      <c r="M9" s="288">
        <f t="shared" si="1"/>
        <v>0</v>
      </c>
      <c r="N9" s="288">
        <f t="shared" si="1"/>
        <v>0</v>
      </c>
      <c r="O9" s="288">
        <f t="shared" si="1"/>
        <v>0</v>
      </c>
      <c r="P9" s="288">
        <f t="shared" si="1"/>
        <v>0</v>
      </c>
      <c r="Q9" s="292" t="s">
        <v>445</v>
      </c>
      <c r="R9" s="292" t="s">
        <v>445</v>
      </c>
      <c r="S9" s="1"/>
    </row>
    <row r="10" spans="1:19" ht="28" customHeight="1" thickBot="1" x14ac:dyDescent="0.25">
      <c r="A10" s="287"/>
      <c r="B10" s="289"/>
      <c r="C10" s="289"/>
      <c r="D10" s="289"/>
      <c r="E10" s="289"/>
      <c r="F10" s="289"/>
      <c r="G10" s="291"/>
      <c r="H10" s="291"/>
      <c r="I10" s="1"/>
      <c r="K10" s="287"/>
      <c r="L10" s="289"/>
      <c r="M10" s="289"/>
      <c r="N10" s="289"/>
      <c r="O10" s="289"/>
      <c r="P10" s="289"/>
      <c r="Q10" s="293"/>
      <c r="R10" s="293"/>
      <c r="S10" s="1"/>
    </row>
    <row r="11" spans="1:19" ht="28" customHeight="1" x14ac:dyDescent="0.2">
      <c r="A11" s="286">
        <v>0.33333333333333298</v>
      </c>
      <c r="B11" s="290" t="s">
        <v>42</v>
      </c>
      <c r="C11" s="290" t="s">
        <v>43</v>
      </c>
      <c r="D11" s="288" t="s">
        <v>12</v>
      </c>
      <c r="E11" s="290" t="s">
        <v>42</v>
      </c>
      <c r="F11" s="290" t="s">
        <v>43</v>
      </c>
      <c r="G11" s="294" t="s">
        <v>12</v>
      </c>
      <c r="H11" s="294" t="s">
        <v>12</v>
      </c>
      <c r="K11" s="286">
        <v>0.33333333333333298</v>
      </c>
      <c r="L11" s="292" t="s">
        <v>445</v>
      </c>
      <c r="M11" s="292" t="s">
        <v>445</v>
      </c>
      <c r="N11" s="296" t="s">
        <v>446</v>
      </c>
      <c r="O11" s="292" t="s">
        <v>445</v>
      </c>
      <c r="P11" s="292" t="s">
        <v>445</v>
      </c>
      <c r="Q11" s="296" t="s">
        <v>446</v>
      </c>
      <c r="R11" s="296" t="s">
        <v>446</v>
      </c>
    </row>
    <row r="12" spans="1:19" ht="28" customHeight="1" thickBot="1" x14ac:dyDescent="0.25">
      <c r="A12" s="287"/>
      <c r="B12" s="291"/>
      <c r="C12" s="291"/>
      <c r="D12" s="289"/>
      <c r="E12" s="291"/>
      <c r="F12" s="291"/>
      <c r="G12" s="295"/>
      <c r="H12" s="295"/>
      <c r="K12" s="287"/>
      <c r="L12" s="293"/>
      <c r="M12" s="293"/>
      <c r="N12" s="297"/>
      <c r="O12" s="293"/>
      <c r="P12" s="293"/>
      <c r="Q12" s="297"/>
      <c r="R12" s="297"/>
    </row>
    <row r="13" spans="1:19" ht="28" customHeight="1" x14ac:dyDescent="0.2">
      <c r="A13" s="286">
        <v>0.375</v>
      </c>
      <c r="B13" s="288" t="s">
        <v>4</v>
      </c>
      <c r="C13" s="288" t="s">
        <v>4</v>
      </c>
      <c r="D13" s="288" t="s">
        <v>31</v>
      </c>
      <c r="E13" s="288" t="s">
        <v>4</v>
      </c>
      <c r="F13" s="288" t="s">
        <v>4</v>
      </c>
      <c r="G13" s="288" t="s">
        <v>31</v>
      </c>
      <c r="H13" s="288" t="s">
        <v>15</v>
      </c>
      <c r="I13" s="1"/>
      <c r="K13" s="286">
        <v>0.375</v>
      </c>
      <c r="L13" s="296" t="s">
        <v>446</v>
      </c>
      <c r="M13" s="296" t="s">
        <v>446</v>
      </c>
      <c r="N13" s="296" t="s">
        <v>446</v>
      </c>
      <c r="O13" s="296" t="s">
        <v>446</v>
      </c>
      <c r="P13" s="296" t="s">
        <v>446</v>
      </c>
      <c r="Q13" s="296" t="s">
        <v>446</v>
      </c>
      <c r="R13" s="296" t="s">
        <v>446</v>
      </c>
      <c r="S13" s="1"/>
    </row>
    <row r="14" spans="1:19" ht="28" customHeight="1" thickBot="1" x14ac:dyDescent="0.25">
      <c r="A14" s="287"/>
      <c r="B14" s="289"/>
      <c r="C14" s="289"/>
      <c r="D14" s="289"/>
      <c r="E14" s="289"/>
      <c r="F14" s="289"/>
      <c r="G14" s="289"/>
      <c r="H14" s="289"/>
      <c r="I14" s="1"/>
      <c r="K14" s="287"/>
      <c r="L14" s="297"/>
      <c r="M14" s="297"/>
      <c r="N14" s="297"/>
      <c r="O14" s="297"/>
      <c r="P14" s="297"/>
      <c r="Q14" s="297"/>
      <c r="R14" s="297"/>
      <c r="S14" s="1"/>
    </row>
    <row r="15" spans="1:19" ht="28" customHeight="1" x14ac:dyDescent="0.2">
      <c r="A15" s="286">
        <v>0.41666666666666702</v>
      </c>
      <c r="B15" s="290" t="s">
        <v>43</v>
      </c>
      <c r="C15" s="298" t="s">
        <v>43</v>
      </c>
      <c r="D15" s="298" t="s">
        <v>43</v>
      </c>
      <c r="E15" s="298" t="s">
        <v>43</v>
      </c>
      <c r="F15" s="298" t="s">
        <v>43</v>
      </c>
      <c r="G15" s="300" t="s">
        <v>43</v>
      </c>
      <c r="H15" s="302" t="s">
        <v>43</v>
      </c>
      <c r="K15" s="286">
        <v>0.41666666666666702</v>
      </c>
      <c r="L15" s="292" t="s">
        <v>445</v>
      </c>
      <c r="M15" s="292" t="s">
        <v>445</v>
      </c>
      <c r="N15" s="292" t="s">
        <v>445</v>
      </c>
      <c r="O15" s="292" t="s">
        <v>445</v>
      </c>
      <c r="P15" s="292" t="s">
        <v>445</v>
      </c>
      <c r="Q15" s="302" t="s">
        <v>433</v>
      </c>
      <c r="R15" s="302" t="s">
        <v>433</v>
      </c>
    </row>
    <row r="16" spans="1:19" ht="28" customHeight="1" thickBot="1" x14ac:dyDescent="0.25">
      <c r="A16" s="287"/>
      <c r="B16" s="291"/>
      <c r="C16" s="299"/>
      <c r="D16" s="299"/>
      <c r="E16" s="299"/>
      <c r="F16" s="299"/>
      <c r="G16" s="301"/>
      <c r="H16" s="303"/>
      <c r="K16" s="287"/>
      <c r="L16" s="293"/>
      <c r="M16" s="293"/>
      <c r="N16" s="293"/>
      <c r="O16" s="293"/>
      <c r="P16" s="293"/>
      <c r="Q16" s="303"/>
      <c r="R16" s="303"/>
    </row>
    <row r="17" spans="1:19" ht="28" customHeight="1" x14ac:dyDescent="0.2">
      <c r="A17" s="286">
        <v>0.45833333333333298</v>
      </c>
      <c r="B17" s="288" t="s">
        <v>31</v>
      </c>
      <c r="C17" s="288" t="s">
        <v>31</v>
      </c>
      <c r="D17" s="288" t="s">
        <v>33</v>
      </c>
      <c r="E17" s="288" t="s">
        <v>31</v>
      </c>
      <c r="F17" s="288" t="s">
        <v>33</v>
      </c>
      <c r="G17" s="304" t="s">
        <v>4</v>
      </c>
      <c r="H17" s="288" t="s">
        <v>4</v>
      </c>
      <c r="I17" s="1"/>
      <c r="K17" s="286">
        <v>0.45833333333333298</v>
      </c>
      <c r="L17" s="296" t="s">
        <v>446</v>
      </c>
      <c r="M17" s="296" t="s">
        <v>446</v>
      </c>
      <c r="N17" s="296" t="s">
        <v>446</v>
      </c>
      <c r="O17" s="296" t="s">
        <v>446</v>
      </c>
      <c r="P17" s="296" t="s">
        <v>446</v>
      </c>
      <c r="Q17" s="296" t="s">
        <v>446</v>
      </c>
      <c r="R17" s="296" t="s">
        <v>446</v>
      </c>
      <c r="S17" s="1"/>
    </row>
    <row r="18" spans="1:19" ht="28" customHeight="1" thickBot="1" x14ac:dyDescent="0.25">
      <c r="A18" s="287"/>
      <c r="B18" s="289"/>
      <c r="C18" s="289"/>
      <c r="D18" s="289"/>
      <c r="E18" s="289"/>
      <c r="F18" s="289"/>
      <c r="G18" s="305"/>
      <c r="H18" s="289"/>
      <c r="I18" s="1"/>
      <c r="K18" s="287"/>
      <c r="L18" s="297"/>
      <c r="M18" s="297"/>
      <c r="N18" s="297"/>
      <c r="O18" s="297"/>
      <c r="P18" s="297"/>
      <c r="Q18" s="297"/>
      <c r="R18" s="297"/>
      <c r="S18" s="1"/>
    </row>
    <row r="19" spans="1:19" ht="28" customHeight="1" x14ac:dyDescent="0.2">
      <c r="A19" s="286">
        <v>0.5</v>
      </c>
      <c r="B19" s="288" t="s">
        <v>12</v>
      </c>
      <c r="C19" s="290" t="s">
        <v>42</v>
      </c>
      <c r="D19" s="288" t="s">
        <v>12</v>
      </c>
      <c r="E19" s="290" t="s">
        <v>42</v>
      </c>
      <c r="F19" s="288" t="s">
        <v>12</v>
      </c>
      <c r="G19" s="306" t="s">
        <v>188</v>
      </c>
      <c r="H19" s="308" t="s">
        <v>2</v>
      </c>
      <c r="K19" s="286">
        <v>0.5</v>
      </c>
      <c r="L19" s="296" t="s">
        <v>446</v>
      </c>
      <c r="M19" s="310" t="s">
        <v>447</v>
      </c>
      <c r="N19" s="296" t="s">
        <v>446</v>
      </c>
      <c r="O19" s="310" t="s">
        <v>447</v>
      </c>
      <c r="P19" s="296" t="s">
        <v>446</v>
      </c>
      <c r="Q19" s="302" t="s">
        <v>433</v>
      </c>
      <c r="R19" s="302" t="s">
        <v>433</v>
      </c>
    </row>
    <row r="20" spans="1:19" ht="28" customHeight="1" thickBot="1" x14ac:dyDescent="0.25">
      <c r="A20" s="287"/>
      <c r="B20" s="289"/>
      <c r="C20" s="291"/>
      <c r="D20" s="289"/>
      <c r="E20" s="291"/>
      <c r="F20" s="289"/>
      <c r="G20" s="307"/>
      <c r="H20" s="309"/>
      <c r="K20" s="287"/>
      <c r="L20" s="297"/>
      <c r="M20" s="311"/>
      <c r="N20" s="297"/>
      <c r="O20" s="311"/>
      <c r="P20" s="297"/>
      <c r="Q20" s="303"/>
      <c r="R20" s="303"/>
    </row>
    <row r="21" spans="1:19" ht="28" customHeight="1" x14ac:dyDescent="0.2">
      <c r="A21" s="286">
        <v>0.54166666666666696</v>
      </c>
      <c r="B21" s="312" t="s">
        <v>2</v>
      </c>
      <c r="C21" s="312" t="s">
        <v>188</v>
      </c>
      <c r="D21" s="312" t="s">
        <v>2</v>
      </c>
      <c r="E21" s="312" t="s">
        <v>188</v>
      </c>
      <c r="F21" s="312" t="s">
        <v>2</v>
      </c>
      <c r="G21" s="288" t="s">
        <v>4</v>
      </c>
      <c r="H21" s="304" t="s">
        <v>4</v>
      </c>
      <c r="K21" s="286">
        <v>0.54166666666666696</v>
      </c>
      <c r="L21" s="292" t="s">
        <v>445</v>
      </c>
      <c r="M21" s="292" t="s">
        <v>445</v>
      </c>
      <c r="N21" s="310" t="s">
        <v>447</v>
      </c>
      <c r="O21" s="292" t="s">
        <v>445</v>
      </c>
      <c r="P21" s="292" t="s">
        <v>445</v>
      </c>
      <c r="Q21" s="296" t="s">
        <v>446</v>
      </c>
      <c r="R21" s="296" t="s">
        <v>446</v>
      </c>
    </row>
    <row r="22" spans="1:19" ht="28" customHeight="1" thickBot="1" x14ac:dyDescent="0.25">
      <c r="A22" s="287"/>
      <c r="B22" s="313"/>
      <c r="C22" s="313"/>
      <c r="D22" s="313"/>
      <c r="E22" s="313"/>
      <c r="F22" s="313"/>
      <c r="G22" s="289"/>
      <c r="H22" s="305"/>
      <c r="K22" s="287"/>
      <c r="L22" s="293"/>
      <c r="M22" s="293"/>
      <c r="N22" s="311"/>
      <c r="O22" s="293"/>
      <c r="P22" s="293"/>
      <c r="Q22" s="297"/>
      <c r="R22" s="297"/>
    </row>
    <row r="23" spans="1:19" ht="28" customHeight="1" x14ac:dyDescent="0.2">
      <c r="A23" s="286">
        <v>0.58333333333333304</v>
      </c>
      <c r="B23" s="288" t="s">
        <v>4</v>
      </c>
      <c r="C23" s="288" t="s">
        <v>33</v>
      </c>
      <c r="D23" s="288" t="s">
        <v>4</v>
      </c>
      <c r="E23" s="288" t="s">
        <v>31</v>
      </c>
      <c r="F23" s="288" t="s">
        <v>31</v>
      </c>
      <c r="G23" s="300" t="s">
        <v>42</v>
      </c>
      <c r="H23" s="302" t="s">
        <v>42</v>
      </c>
      <c r="K23" s="286">
        <v>0.58333333333333304</v>
      </c>
      <c r="L23" s="296" t="s">
        <v>446</v>
      </c>
      <c r="M23" s="296" t="s">
        <v>446</v>
      </c>
      <c r="N23" s="296" t="s">
        <v>446</v>
      </c>
      <c r="O23" s="296" t="s">
        <v>446</v>
      </c>
      <c r="P23" s="296" t="s">
        <v>446</v>
      </c>
      <c r="Q23" s="302" t="s">
        <v>433</v>
      </c>
      <c r="R23" s="302" t="s">
        <v>433</v>
      </c>
    </row>
    <row r="24" spans="1:19" ht="28" customHeight="1" thickBot="1" x14ac:dyDescent="0.25">
      <c r="A24" s="287"/>
      <c r="B24" s="289"/>
      <c r="C24" s="289"/>
      <c r="D24" s="289"/>
      <c r="E24" s="289"/>
      <c r="F24" s="289"/>
      <c r="G24" s="301"/>
      <c r="H24" s="303"/>
      <c r="K24" s="287"/>
      <c r="L24" s="297"/>
      <c r="M24" s="297"/>
      <c r="N24" s="297"/>
      <c r="O24" s="297"/>
      <c r="P24" s="297"/>
      <c r="Q24" s="303"/>
      <c r="R24" s="303"/>
    </row>
    <row r="25" spans="1:19" ht="28" customHeight="1" x14ac:dyDescent="0.2">
      <c r="A25" s="286">
        <v>0.625</v>
      </c>
      <c r="B25" s="288" t="s">
        <v>33</v>
      </c>
      <c r="C25" s="304" t="s">
        <v>31</v>
      </c>
      <c r="D25" s="300" t="s">
        <v>43</v>
      </c>
      <c r="E25" s="304" t="s">
        <v>33</v>
      </c>
      <c r="F25" s="304" t="s">
        <v>15</v>
      </c>
      <c r="G25" s="304" t="s">
        <v>33</v>
      </c>
      <c r="H25" s="288" t="s">
        <v>15</v>
      </c>
      <c r="K25" s="286">
        <v>0.625</v>
      </c>
      <c r="L25" s="296" t="s">
        <v>446</v>
      </c>
      <c r="M25" s="296" t="s">
        <v>446</v>
      </c>
      <c r="N25" s="302" t="s">
        <v>433</v>
      </c>
      <c r="O25" s="296" t="s">
        <v>446</v>
      </c>
      <c r="P25" s="296" t="s">
        <v>446</v>
      </c>
      <c r="Q25" s="296" t="s">
        <v>446</v>
      </c>
      <c r="R25" s="296" t="s">
        <v>446</v>
      </c>
    </row>
    <row r="26" spans="1:19" ht="28" customHeight="1" thickBot="1" x14ac:dyDescent="0.25">
      <c r="A26" s="287"/>
      <c r="B26" s="289"/>
      <c r="C26" s="305"/>
      <c r="D26" s="301"/>
      <c r="E26" s="305"/>
      <c r="F26" s="305"/>
      <c r="G26" s="305"/>
      <c r="H26" s="289"/>
      <c r="K26" s="287"/>
      <c r="L26" s="297"/>
      <c r="M26" s="297"/>
      <c r="N26" s="303"/>
      <c r="O26" s="297"/>
      <c r="P26" s="297"/>
      <c r="Q26" s="297"/>
      <c r="R26" s="297"/>
    </row>
    <row r="27" spans="1:19" ht="28" customHeight="1" x14ac:dyDescent="0.2">
      <c r="A27" s="286">
        <v>0.66666666666666696</v>
      </c>
      <c r="B27" s="300" t="s">
        <v>43</v>
      </c>
      <c r="C27" s="300" t="s">
        <v>43</v>
      </c>
      <c r="D27" s="288" t="s">
        <v>31</v>
      </c>
      <c r="E27" s="300" t="s">
        <v>43</v>
      </c>
      <c r="F27" s="300" t="s">
        <v>43</v>
      </c>
      <c r="G27" s="298" t="s">
        <v>43</v>
      </c>
      <c r="H27" s="290" t="s">
        <v>43</v>
      </c>
      <c r="K27" s="286">
        <v>0.66666666666666696</v>
      </c>
      <c r="L27" s="302" t="s">
        <v>433</v>
      </c>
      <c r="M27" s="302" t="s">
        <v>433</v>
      </c>
      <c r="N27" s="296" t="s">
        <v>446</v>
      </c>
      <c r="O27" s="302" t="s">
        <v>433</v>
      </c>
      <c r="P27" s="302" t="s">
        <v>433</v>
      </c>
      <c r="Q27" s="310" t="s">
        <v>447</v>
      </c>
      <c r="R27" s="310" t="s">
        <v>447</v>
      </c>
    </row>
    <row r="28" spans="1:19" ht="28" customHeight="1" thickBot="1" x14ac:dyDescent="0.25">
      <c r="A28" s="287"/>
      <c r="B28" s="301"/>
      <c r="C28" s="301"/>
      <c r="D28" s="289"/>
      <c r="E28" s="301"/>
      <c r="F28" s="301"/>
      <c r="G28" s="299"/>
      <c r="H28" s="291"/>
      <c r="K28" s="287"/>
      <c r="L28" s="303"/>
      <c r="M28" s="303"/>
      <c r="N28" s="297"/>
      <c r="O28" s="303"/>
      <c r="P28" s="303"/>
      <c r="Q28" s="311"/>
      <c r="R28" s="311"/>
    </row>
    <row r="29" spans="1:19" ht="28" customHeight="1" x14ac:dyDescent="0.2">
      <c r="A29" s="286">
        <v>0.70833333333333304</v>
      </c>
      <c r="B29" s="288" t="s">
        <v>12</v>
      </c>
      <c r="C29" s="288" t="s">
        <v>12</v>
      </c>
      <c r="D29" s="300" t="s">
        <v>43</v>
      </c>
      <c r="E29" s="288" t="s">
        <v>33</v>
      </c>
      <c r="F29" s="288" t="s">
        <v>33</v>
      </c>
      <c r="G29" s="288" t="s">
        <v>33</v>
      </c>
      <c r="H29" s="288" t="s">
        <v>33</v>
      </c>
      <c r="K29" s="286">
        <v>0.70833333333333304</v>
      </c>
      <c r="L29" s="296" t="s">
        <v>446</v>
      </c>
      <c r="M29" s="296" t="s">
        <v>446</v>
      </c>
      <c r="N29" s="302" t="s">
        <v>433</v>
      </c>
      <c r="O29" s="296" t="s">
        <v>446</v>
      </c>
      <c r="P29" s="296" t="s">
        <v>446</v>
      </c>
      <c r="Q29" s="296" t="s">
        <v>446</v>
      </c>
      <c r="R29" s="296" t="s">
        <v>446</v>
      </c>
    </row>
    <row r="30" spans="1:19" ht="28" customHeight="1" thickBot="1" x14ac:dyDescent="0.25">
      <c r="A30" s="287"/>
      <c r="B30" s="289"/>
      <c r="C30" s="289"/>
      <c r="D30" s="301"/>
      <c r="E30" s="289"/>
      <c r="F30" s="289"/>
      <c r="G30" s="289"/>
      <c r="H30" s="289"/>
      <c r="K30" s="287"/>
      <c r="L30" s="297"/>
      <c r="M30" s="297"/>
      <c r="N30" s="303"/>
      <c r="O30" s="297"/>
      <c r="P30" s="297"/>
      <c r="Q30" s="297"/>
      <c r="R30" s="297"/>
    </row>
    <row r="31" spans="1:19" ht="28" customHeight="1" x14ac:dyDescent="0.2">
      <c r="A31" s="314" t="s">
        <v>518</v>
      </c>
      <c r="B31" s="300" t="s">
        <v>43</v>
      </c>
      <c r="C31" s="300" t="s">
        <v>43</v>
      </c>
      <c r="D31" s="288" t="s">
        <v>12</v>
      </c>
      <c r="E31" s="300" t="s">
        <v>43</v>
      </c>
      <c r="F31" s="300" t="s">
        <v>43</v>
      </c>
      <c r="G31" s="288" t="s">
        <v>12</v>
      </c>
      <c r="H31" s="288" t="s">
        <v>12</v>
      </c>
      <c r="K31" s="314" t="s">
        <v>518</v>
      </c>
      <c r="L31" s="302" t="s">
        <v>433</v>
      </c>
      <c r="M31" s="302" t="s">
        <v>433</v>
      </c>
      <c r="N31" s="296" t="s">
        <v>446</v>
      </c>
      <c r="O31" s="302" t="s">
        <v>433</v>
      </c>
      <c r="P31" s="302" t="s">
        <v>433</v>
      </c>
      <c r="Q31" s="296" t="s">
        <v>446</v>
      </c>
      <c r="R31" s="296" t="s">
        <v>446</v>
      </c>
    </row>
    <row r="32" spans="1:19" ht="28" customHeight="1" thickBot="1" x14ac:dyDescent="0.25">
      <c r="A32" s="287"/>
      <c r="B32" s="301"/>
      <c r="C32" s="301"/>
      <c r="D32" s="289"/>
      <c r="E32" s="301"/>
      <c r="F32" s="301"/>
      <c r="G32" s="289"/>
      <c r="H32" s="289"/>
      <c r="K32" s="287"/>
      <c r="L32" s="303"/>
      <c r="M32" s="303"/>
      <c r="N32" s="297"/>
      <c r="O32" s="303"/>
      <c r="P32" s="303"/>
      <c r="Q32" s="297"/>
      <c r="R32" s="297"/>
    </row>
    <row r="33" spans="1:20" ht="28" customHeight="1" x14ac:dyDescent="0.2">
      <c r="A33" s="314" t="s">
        <v>519</v>
      </c>
      <c r="B33" s="288" t="s">
        <v>33</v>
      </c>
      <c r="C33" s="288" t="s">
        <v>12</v>
      </c>
      <c r="D33" s="288" t="s">
        <v>33</v>
      </c>
      <c r="E33" s="288" t="s">
        <v>12</v>
      </c>
      <c r="F33" s="288" t="s">
        <v>33</v>
      </c>
      <c r="G33" s="288" t="s">
        <v>33</v>
      </c>
      <c r="H33" s="288" t="s">
        <v>12</v>
      </c>
      <c r="K33" s="314" t="s">
        <v>519</v>
      </c>
      <c r="L33" s="296" t="s">
        <v>446</v>
      </c>
      <c r="M33" s="296" t="s">
        <v>446</v>
      </c>
      <c r="N33" s="296" t="s">
        <v>446</v>
      </c>
      <c r="O33" s="296" t="s">
        <v>446</v>
      </c>
      <c r="P33" s="296" t="s">
        <v>446</v>
      </c>
      <c r="Q33" s="296" t="s">
        <v>446</v>
      </c>
      <c r="R33" s="296" t="s">
        <v>446</v>
      </c>
    </row>
    <row r="34" spans="1:20" ht="28" customHeight="1" thickBot="1" x14ac:dyDescent="0.25">
      <c r="A34" s="287"/>
      <c r="B34" s="289"/>
      <c r="C34" s="289"/>
      <c r="D34" s="289"/>
      <c r="E34" s="289"/>
      <c r="F34" s="289"/>
      <c r="G34" s="289"/>
      <c r="H34" s="289"/>
      <c r="K34" s="287"/>
      <c r="L34" s="297"/>
      <c r="M34" s="297"/>
      <c r="N34" s="297"/>
      <c r="O34" s="297"/>
      <c r="P34" s="297"/>
      <c r="Q34" s="297"/>
      <c r="R34" s="297"/>
    </row>
    <row r="35" spans="1:20" ht="28" customHeight="1" x14ac:dyDescent="0.2">
      <c r="A35" s="286">
        <v>0.83333333333333304</v>
      </c>
      <c r="B35" s="288"/>
      <c r="C35" s="288"/>
      <c r="D35" s="288"/>
      <c r="E35" s="288"/>
      <c r="F35" s="288" t="s">
        <v>15</v>
      </c>
      <c r="G35" s="288" t="s">
        <v>15</v>
      </c>
      <c r="H35" s="288"/>
      <c r="I35" s="1"/>
      <c r="K35" s="286">
        <v>0.83333333333333304</v>
      </c>
      <c r="L35" s="288">
        <f t="shared" ref="L35:O35" si="2">B35</f>
        <v>0</v>
      </c>
      <c r="M35" s="288">
        <f t="shared" si="2"/>
        <v>0</v>
      </c>
      <c r="N35" s="288">
        <f t="shared" si="2"/>
        <v>0</v>
      </c>
      <c r="O35" s="288">
        <f t="shared" si="2"/>
        <v>0</v>
      </c>
      <c r="P35" s="296" t="s">
        <v>446</v>
      </c>
      <c r="Q35" s="296" t="s">
        <v>446</v>
      </c>
      <c r="R35" s="288">
        <f t="shared" ref="R35" si="3">H35</f>
        <v>0</v>
      </c>
      <c r="S35" s="1"/>
    </row>
    <row r="36" spans="1:20" ht="28" customHeight="1" thickBot="1" x14ac:dyDescent="0.25">
      <c r="A36" s="287"/>
      <c r="B36" s="289"/>
      <c r="C36" s="289"/>
      <c r="D36" s="289"/>
      <c r="E36" s="289"/>
      <c r="F36" s="289"/>
      <c r="G36" s="289"/>
      <c r="H36" s="289"/>
      <c r="I36" s="1"/>
      <c r="K36" s="287"/>
      <c r="L36" s="289"/>
      <c r="M36" s="289"/>
      <c r="N36" s="289"/>
      <c r="O36" s="289"/>
      <c r="P36" s="297"/>
      <c r="Q36" s="297"/>
      <c r="R36" s="289"/>
      <c r="S36" s="1"/>
    </row>
    <row r="37" spans="1:20" ht="28" customHeight="1" x14ac:dyDescent="0.2">
      <c r="A37" s="286">
        <v>0.875</v>
      </c>
      <c r="B37" s="288"/>
      <c r="C37" s="288"/>
      <c r="D37" s="288"/>
      <c r="E37" s="288"/>
      <c r="F37" s="288"/>
      <c r="G37" s="288"/>
      <c r="H37" s="288"/>
      <c r="I37" s="1"/>
      <c r="K37" s="286">
        <v>0.875</v>
      </c>
      <c r="L37" s="288">
        <f t="shared" ref="L37:R37" si="4">B37</f>
        <v>0</v>
      </c>
      <c r="M37" s="288">
        <f t="shared" si="4"/>
        <v>0</v>
      </c>
      <c r="N37" s="288">
        <f t="shared" si="4"/>
        <v>0</v>
      </c>
      <c r="O37" s="288">
        <f t="shared" si="4"/>
        <v>0</v>
      </c>
      <c r="P37" s="288">
        <f t="shared" si="4"/>
        <v>0</v>
      </c>
      <c r="Q37" s="288">
        <f t="shared" si="4"/>
        <v>0</v>
      </c>
      <c r="R37" s="288">
        <f t="shared" si="4"/>
        <v>0</v>
      </c>
      <c r="S37" s="1"/>
    </row>
    <row r="38" spans="1:20" ht="28" customHeight="1" thickBot="1" x14ac:dyDescent="0.25">
      <c r="A38" s="287"/>
      <c r="B38" s="289"/>
      <c r="C38" s="289"/>
      <c r="D38" s="289"/>
      <c r="E38" s="289"/>
      <c r="F38" s="289"/>
      <c r="G38" s="289"/>
      <c r="H38" s="289"/>
      <c r="I38" s="1"/>
      <c r="K38" s="287"/>
      <c r="L38" s="289"/>
      <c r="M38" s="289"/>
      <c r="N38" s="289"/>
      <c r="O38" s="289"/>
      <c r="P38" s="289"/>
      <c r="Q38" s="289"/>
      <c r="R38" s="289"/>
      <c r="S38" s="1"/>
    </row>
    <row r="39" spans="1:20" ht="28" customHeight="1" x14ac:dyDescent="0.2">
      <c r="A39" s="286">
        <v>0.91666666666666696</v>
      </c>
      <c r="B39" s="288"/>
      <c r="C39" s="288"/>
      <c r="D39" s="288"/>
      <c r="E39" s="288"/>
      <c r="F39" s="288"/>
      <c r="G39" s="288"/>
      <c r="H39" s="288"/>
      <c r="I39" s="1"/>
      <c r="K39" s="286">
        <v>0.91666666666666696</v>
      </c>
      <c r="L39" s="288">
        <f t="shared" ref="L39:R39" si="5">B39</f>
        <v>0</v>
      </c>
      <c r="M39" s="288">
        <f t="shared" si="5"/>
        <v>0</v>
      </c>
      <c r="N39" s="288">
        <f t="shared" si="5"/>
        <v>0</v>
      </c>
      <c r="O39" s="288">
        <f t="shared" si="5"/>
        <v>0</v>
      </c>
      <c r="P39" s="288">
        <f t="shared" si="5"/>
        <v>0</v>
      </c>
      <c r="Q39" s="288">
        <f t="shared" si="5"/>
        <v>0</v>
      </c>
      <c r="R39" s="288">
        <f t="shared" si="5"/>
        <v>0</v>
      </c>
      <c r="S39" s="1"/>
    </row>
    <row r="40" spans="1:20" ht="28" customHeight="1" thickBot="1" x14ac:dyDescent="0.25">
      <c r="A40" s="287"/>
      <c r="B40" s="289"/>
      <c r="C40" s="289"/>
      <c r="D40" s="289"/>
      <c r="E40" s="289"/>
      <c r="F40" s="289"/>
      <c r="G40" s="289"/>
      <c r="H40" s="289"/>
      <c r="I40" s="1"/>
      <c r="K40" s="287"/>
      <c r="L40" s="289"/>
      <c r="M40" s="289"/>
      <c r="N40" s="289"/>
      <c r="O40" s="289"/>
      <c r="P40" s="289"/>
      <c r="Q40" s="289"/>
      <c r="R40" s="289"/>
      <c r="S40" s="1"/>
    </row>
    <row r="41" spans="1:20" ht="28" customHeight="1" thickBot="1" x14ac:dyDescent="0.25">
      <c r="A41" s="286">
        <v>0.95833333333333304</v>
      </c>
      <c r="B41" s="288"/>
      <c r="C41" s="288"/>
      <c r="D41" s="288"/>
      <c r="E41" s="288"/>
      <c r="F41" s="288"/>
      <c r="G41" s="288"/>
      <c r="H41" s="288"/>
      <c r="I41" s="1"/>
      <c r="K41" s="286">
        <v>0.95833333333333304</v>
      </c>
      <c r="L41" s="288">
        <f t="shared" ref="L41:R41" si="6">B41</f>
        <v>0</v>
      </c>
      <c r="M41" s="288">
        <f t="shared" si="6"/>
        <v>0</v>
      </c>
      <c r="N41" s="288">
        <f t="shared" si="6"/>
        <v>0</v>
      </c>
      <c r="O41" s="288">
        <f t="shared" si="6"/>
        <v>0</v>
      </c>
      <c r="P41" s="288">
        <f t="shared" si="6"/>
        <v>0</v>
      </c>
      <c r="Q41" s="288">
        <f t="shared" si="6"/>
        <v>0</v>
      </c>
      <c r="R41" s="288">
        <f t="shared" si="6"/>
        <v>0</v>
      </c>
      <c r="S41" s="1"/>
    </row>
    <row r="42" spans="1:20" ht="28" customHeight="1" thickBot="1" x14ac:dyDescent="0.25">
      <c r="A42" s="315"/>
      <c r="B42" s="316"/>
      <c r="C42" s="316"/>
      <c r="D42" s="316"/>
      <c r="E42" s="316"/>
      <c r="F42" s="316"/>
      <c r="G42" s="316"/>
      <c r="H42" s="317"/>
      <c r="I42" s="30" t="s">
        <v>86</v>
      </c>
      <c r="K42" s="315"/>
      <c r="L42" s="289"/>
      <c r="M42" s="289"/>
      <c r="N42" s="289"/>
      <c r="O42" s="289"/>
      <c r="P42" s="289"/>
      <c r="Q42" s="289"/>
      <c r="R42" s="289"/>
      <c r="S42" s="30" t="s">
        <v>86</v>
      </c>
    </row>
    <row r="43" spans="1:20" ht="28" customHeight="1" thickBot="1" x14ac:dyDescent="0.25">
      <c r="A43" s="79" t="s">
        <v>195</v>
      </c>
      <c r="B43" s="81" t="s">
        <v>191</v>
      </c>
      <c r="C43" s="82" t="s">
        <v>191</v>
      </c>
      <c r="D43" s="82" t="s">
        <v>191</v>
      </c>
      <c r="E43" s="82" t="s">
        <v>191</v>
      </c>
      <c r="F43" s="82" t="s">
        <v>36</v>
      </c>
      <c r="G43" s="82" t="s">
        <v>192</v>
      </c>
      <c r="H43" s="83" t="s">
        <v>193</v>
      </c>
      <c r="I43" s="155"/>
      <c r="K43" s="79" t="s">
        <v>195</v>
      </c>
      <c r="L43" s="81" t="str">
        <f>B43</f>
        <v>7-8:30</v>
      </c>
      <c r="M43" s="81" t="str">
        <f t="shared" ref="M43:R45" si="7">C43</f>
        <v>7-8:30</v>
      </c>
      <c r="N43" s="81" t="str">
        <f t="shared" si="7"/>
        <v>7-8:30</v>
      </c>
      <c r="O43" s="81" t="str">
        <f t="shared" si="7"/>
        <v>7-8:30</v>
      </c>
      <c r="P43" s="81" t="str">
        <f t="shared" si="7"/>
        <v>7-9:30</v>
      </c>
      <c r="Q43" s="81" t="str">
        <f t="shared" si="7"/>
        <v>6-9:30</v>
      </c>
      <c r="R43" s="81" t="str">
        <f t="shared" si="7"/>
        <v>6-8:30</v>
      </c>
      <c r="S43" s="155"/>
    </row>
    <row r="44" spans="1:20" ht="28" customHeight="1" thickBot="1" x14ac:dyDescent="0.25">
      <c r="A44" s="79" t="s">
        <v>185</v>
      </c>
      <c r="B44" s="34">
        <f>B46+1.5</f>
        <v>13.5</v>
      </c>
      <c r="C44" s="34">
        <f t="shared" ref="C44:H44" si="8">C46+1.5</f>
        <v>13.5</v>
      </c>
      <c r="D44" s="34">
        <f t="shared" si="8"/>
        <v>13.5</v>
      </c>
      <c r="E44" s="34">
        <f t="shared" si="8"/>
        <v>13.5</v>
      </c>
      <c r="F44" s="34">
        <f t="shared" si="8"/>
        <v>14.5</v>
      </c>
      <c r="G44" s="34">
        <f t="shared" si="8"/>
        <v>15.5</v>
      </c>
      <c r="H44" s="34">
        <f t="shared" si="8"/>
        <v>14.5</v>
      </c>
      <c r="I44" s="80">
        <f>SUM(B44:H44)</f>
        <v>98.5</v>
      </c>
      <c r="K44" s="79" t="s">
        <v>185</v>
      </c>
      <c r="L44" s="34">
        <f>B44</f>
        <v>13.5</v>
      </c>
      <c r="M44" s="34">
        <f t="shared" si="7"/>
        <v>13.5</v>
      </c>
      <c r="N44" s="34">
        <f t="shared" si="7"/>
        <v>13.5</v>
      </c>
      <c r="O44" s="34">
        <f t="shared" si="7"/>
        <v>13.5</v>
      </c>
      <c r="P44" s="34">
        <f t="shared" si="7"/>
        <v>14.5</v>
      </c>
      <c r="Q44" s="34">
        <f t="shared" si="7"/>
        <v>15.5</v>
      </c>
      <c r="R44" s="34">
        <f t="shared" si="7"/>
        <v>14.5</v>
      </c>
      <c r="S44" s="80">
        <f>SUM(L44:R44)</f>
        <v>98.5</v>
      </c>
    </row>
    <row r="45" spans="1:20" ht="28" customHeight="1" thickBot="1" x14ac:dyDescent="0.25">
      <c r="A45" s="79" t="s">
        <v>186</v>
      </c>
      <c r="B45" s="156" t="s">
        <v>54</v>
      </c>
      <c r="C45" s="157" t="s">
        <v>54</v>
      </c>
      <c r="D45" s="157" t="s">
        <v>54</v>
      </c>
      <c r="E45" s="157" t="s">
        <v>54</v>
      </c>
      <c r="F45" s="157" t="s">
        <v>76</v>
      </c>
      <c r="G45" s="157" t="s">
        <v>77</v>
      </c>
      <c r="H45" s="158" t="s">
        <v>194</v>
      </c>
      <c r="I45" s="155"/>
      <c r="K45" s="79" t="s">
        <v>186</v>
      </c>
      <c r="L45" s="156" t="str">
        <f>B45</f>
        <v>8-8pm</v>
      </c>
      <c r="M45" s="156" t="str">
        <f t="shared" si="7"/>
        <v>8-8pm</v>
      </c>
      <c r="N45" s="156" t="str">
        <f t="shared" si="7"/>
        <v>8-8pm</v>
      </c>
      <c r="O45" s="156" t="str">
        <f t="shared" si="7"/>
        <v>8-8pm</v>
      </c>
      <c r="P45" s="156" t="str">
        <f t="shared" si="7"/>
        <v>8-9pm</v>
      </c>
      <c r="Q45" s="156" t="str">
        <f t="shared" si="7"/>
        <v>7-9pm</v>
      </c>
      <c r="R45" s="156" t="str">
        <f t="shared" si="7"/>
        <v>7-8pm</v>
      </c>
      <c r="S45" s="155"/>
    </row>
    <row r="46" spans="1:20" ht="28" customHeight="1" thickBot="1" x14ac:dyDescent="0.25">
      <c r="A46" s="40" t="s">
        <v>78</v>
      </c>
      <c r="B46" s="159">
        <f t="shared" ref="B46:H46" si="9">COUNTIF(B7:B42,"&lt;&gt;")</f>
        <v>12</v>
      </c>
      <c r="C46" s="160">
        <f t="shared" si="9"/>
        <v>12</v>
      </c>
      <c r="D46" s="160">
        <f t="shared" si="9"/>
        <v>12</v>
      </c>
      <c r="E46" s="160">
        <f t="shared" si="9"/>
        <v>12</v>
      </c>
      <c r="F46" s="160">
        <f t="shared" si="9"/>
        <v>13</v>
      </c>
      <c r="G46" s="160">
        <f t="shared" si="9"/>
        <v>14</v>
      </c>
      <c r="H46" s="161">
        <f t="shared" si="9"/>
        <v>13</v>
      </c>
      <c r="I46" s="15">
        <f>SUM(B46:H46)</f>
        <v>88</v>
      </c>
      <c r="J46" s="170" t="s">
        <v>322</v>
      </c>
      <c r="K46" s="40" t="s">
        <v>78</v>
      </c>
      <c r="L46" s="159"/>
      <c r="M46" s="160"/>
      <c r="N46" s="160"/>
      <c r="O46" s="160"/>
      <c r="P46" s="160"/>
      <c r="Q46" s="160"/>
      <c r="R46" s="161"/>
      <c r="S46" s="15">
        <f>SUM(L46:R46)</f>
        <v>0</v>
      </c>
      <c r="T46" s="170" t="s">
        <v>322</v>
      </c>
    </row>
    <row r="47" spans="1:20" ht="34" x14ac:dyDescent="0.2">
      <c r="A47" s="162" t="s">
        <v>87</v>
      </c>
      <c r="B47" s="163" cm="1">
        <f t="array" ref="B47">SUMPRODUCT(--(
    (ISNUMBER(SEARCH("Malibu",B7:B42)) +
     ISNUMBER(SEARCH("Progressive",B7:B42)))&gt;0
))</f>
        <v>1</v>
      </c>
      <c r="C47" s="163" cm="1">
        <f t="array" ref="C47">SUMPRODUCT(--(
    (ISNUMBER(SEARCH("Malibu",C7:C42)) +
     ISNUMBER(SEARCH("Progressive",C7:C42)))&gt;0
))</f>
        <v>1</v>
      </c>
      <c r="D47" s="163" cm="1">
        <f t="array" ref="D47">SUMPRODUCT(--(
    (ISNUMBER(SEARCH("Malibu",D7:D42)) +
     ISNUMBER(SEARCH("Progressive",D7:D42)))&gt;0
))</f>
        <v>1</v>
      </c>
      <c r="E47" s="163" cm="1">
        <f t="array" ref="E47">SUMPRODUCT(--(
    (ISNUMBER(SEARCH("Malibu",E7:E42)) +
     ISNUMBER(SEARCH("Progressive",E7:E42)))&gt;0
))</f>
        <v>1</v>
      </c>
      <c r="F47" s="163" cm="1">
        <f t="array" ref="F47">SUMPRODUCT(--(
    (ISNUMBER(SEARCH("Malibu",F7:F42)) +
     ISNUMBER(SEARCH("Progressive",F7:F42)))&gt;0
))</f>
        <v>1</v>
      </c>
      <c r="G47" s="163" cm="1">
        <f t="array" ref="G47">SUMPRODUCT(--(
    (ISNUMBER(SEARCH("Malibu",G7:G42)) +
     ISNUMBER(SEARCH("Progressive",G7:G42)))&gt;0
))</f>
        <v>1</v>
      </c>
      <c r="H47" s="163" cm="1">
        <f t="array" ref="H47">SUMPRODUCT(--(
    (ISNUMBER(SEARCH("Malibu",H7:H42)) +
     ISNUMBER(SEARCH("Progressive",H7:H42)))&gt;0
))</f>
        <v>1</v>
      </c>
      <c r="I47" s="16">
        <f t="shared" ref="I47:I49" si="10">SUM(B47:H47)</f>
        <v>7</v>
      </c>
      <c r="J47" s="164">
        <f>I47/$I$46</f>
        <v>7.9545454545454544E-2</v>
      </c>
      <c r="K47" s="162" t="s">
        <v>87</v>
      </c>
      <c r="L47" s="163" cm="1">
        <f t="array" ref="L47">SUMPRODUCT(--(
    (ISNUMBER(SEARCH("Malibu",L7:L42)) +
     ISNUMBER(SEARCH("Progressive",L7:L42)))&gt;0
))</f>
        <v>0</v>
      </c>
      <c r="M47" s="163" cm="1">
        <f t="array" ref="M47">SUMPRODUCT(--(
    (ISNUMBER(SEARCH("Malibu",M7:M42)) +
     ISNUMBER(SEARCH("Progressive",M7:M42)))&gt;0
))</f>
        <v>0</v>
      </c>
      <c r="N47" s="163" cm="1">
        <f t="array" ref="N47">SUMPRODUCT(--(
    (ISNUMBER(SEARCH("Malibu",N7:N42)) +
     ISNUMBER(SEARCH("Progressive",N7:N42)))&gt;0
))</f>
        <v>0</v>
      </c>
      <c r="O47" s="163" cm="1">
        <f t="array" ref="O47">SUMPRODUCT(--(
    (ISNUMBER(SEARCH("Malibu",O7:O42)) +
     ISNUMBER(SEARCH("Progressive",O7:O42)))&gt;0
))</f>
        <v>0</v>
      </c>
      <c r="P47" s="163" cm="1">
        <f t="array" ref="P47">SUMPRODUCT(--(
    (ISNUMBER(SEARCH("Malibu",P7:P42)) +
     ISNUMBER(SEARCH("Progressive",P7:P42)))&gt;0
))</f>
        <v>0</v>
      </c>
      <c r="Q47" s="163" cm="1">
        <f t="array" ref="Q47">SUMPRODUCT(--(
    (ISNUMBER(SEARCH("Malibu",Q7:Q42)) +
     ISNUMBER(SEARCH("Progressive",Q7:Q42)))&gt;0
))</f>
        <v>0</v>
      </c>
      <c r="R47" s="163" cm="1">
        <f t="array" ref="R47">SUMPRODUCT(--(
    (ISNUMBER(SEARCH("Malibu",R7:R42)) +
     ISNUMBER(SEARCH("Progressive",R7:R42)))&gt;0
))</f>
        <v>0</v>
      </c>
      <c r="S47" s="16">
        <f t="shared" ref="S47:S49" si="11">SUM(L47:R47)</f>
        <v>0</v>
      </c>
      <c r="T47" s="164">
        <f>S47/$I$46</f>
        <v>0</v>
      </c>
    </row>
    <row r="48" spans="1:20" ht="28" customHeight="1" x14ac:dyDescent="0.2">
      <c r="A48" s="165" t="s">
        <v>84</v>
      </c>
      <c r="B48" s="166" cm="1">
        <f t="array" ref="B48">SUMPRODUCT(--ISNUMBER(SEARCH("Intermediate",B7:B42)))</f>
        <v>6</v>
      </c>
      <c r="C48" s="3" cm="1">
        <f t="array" ref="C48">SUMPRODUCT(--ISNUMBER(SEARCH("Intermediate",C7:C42)))</f>
        <v>7</v>
      </c>
      <c r="D48" s="3" cm="1">
        <f t="array" ref="D48">SUMPRODUCT(--ISNUMBER(SEARCH("Intermediate",D7:D42)))</f>
        <v>6</v>
      </c>
      <c r="E48" s="3" cm="1">
        <f t="array" ref="E48">SUMPRODUCT(--ISNUMBER(SEARCH("Intermediate",E7:E42)))</f>
        <v>6</v>
      </c>
      <c r="F48" s="3" cm="1">
        <f t="array" ref="F48">SUMPRODUCT(--ISNUMBER(SEARCH("Intermediate",F7:F42)))</f>
        <v>5</v>
      </c>
      <c r="G48" s="3" cm="1">
        <f t="array" ref="G48">SUMPRODUCT(--ISNUMBER(SEARCH("Intermediate",G7:G42)))</f>
        <v>6</v>
      </c>
      <c r="H48" s="17" cm="1">
        <f t="array" ref="H48">SUMPRODUCT(--ISNUMBER(SEARCH("Intermediate",H7:H42)))</f>
        <v>7</v>
      </c>
      <c r="I48" s="165">
        <f t="shared" si="10"/>
        <v>43</v>
      </c>
      <c r="J48" s="164">
        <f t="shared" ref="J48:J49" si="12">I48/$I$46</f>
        <v>0.48863636363636365</v>
      </c>
      <c r="K48" s="165" t="s">
        <v>84</v>
      </c>
      <c r="L48" s="166" cm="1">
        <f t="array" ref="L48">SUMPRODUCT(--ISNUMBER(SEARCH("Intermediate",L7:L42)))</f>
        <v>0</v>
      </c>
      <c r="M48" s="3" cm="1">
        <f t="array" ref="M48">SUMPRODUCT(--ISNUMBER(SEARCH("Intermediate",M7:M42)))</f>
        <v>0</v>
      </c>
      <c r="N48" s="3" cm="1">
        <f t="array" ref="N48">SUMPRODUCT(--ISNUMBER(SEARCH("Intermediate",N7:N42)))</f>
        <v>0</v>
      </c>
      <c r="O48" s="3" cm="1">
        <f t="array" ref="O48">SUMPRODUCT(--ISNUMBER(SEARCH("Intermediate",O7:O42)))</f>
        <v>0</v>
      </c>
      <c r="P48" s="3" cm="1">
        <f t="array" ref="P48">SUMPRODUCT(--ISNUMBER(SEARCH("Intermediate",P7:P42)))</f>
        <v>0</v>
      </c>
      <c r="Q48" s="3" cm="1">
        <f t="array" ref="Q48">SUMPRODUCT(--ISNUMBER(SEARCH("Intermediate",Q7:Q42)))</f>
        <v>0</v>
      </c>
      <c r="R48" s="17" cm="1">
        <f t="array" ref="R48">SUMPRODUCT(--ISNUMBER(SEARCH("Intermediate",R7:R42)))</f>
        <v>0</v>
      </c>
      <c r="S48" s="165">
        <f t="shared" si="11"/>
        <v>0</v>
      </c>
      <c r="T48" s="164">
        <f t="shared" ref="T48:T49" si="13">S48/$I$46</f>
        <v>0</v>
      </c>
    </row>
    <row r="49" spans="1:20" ht="28" customHeight="1" thickBot="1" x14ac:dyDescent="0.25">
      <c r="A49" s="167" t="s">
        <v>85</v>
      </c>
      <c r="B49" s="168" cm="1">
        <f t="array" ref="B49">SUMPRODUCT(--(
    ISNUMBER(SEARCH("Advanced Turns",B7:B42)) +
    ISNUMBER(SEARCH("Advanced Challenger",B7:B42)) +
    ISNUMBER(SEARCH("Pro Challenger",B7:B42))
&gt;0))</f>
        <v>5</v>
      </c>
      <c r="C49" s="5" cm="1">
        <f t="array" ref="C49">SUMPRODUCT(--(
    ISNUMBER(SEARCH("Advanced Turns",C7:C42)) +
    ISNUMBER(SEARCH("Advanced Challenger",C7:C42)) +
    ISNUMBER(SEARCH("Pro Challenger",C7:C42))
&gt;0))</f>
        <v>4</v>
      </c>
      <c r="D49" s="5" cm="1">
        <f t="array" ref="D49">SUMPRODUCT(--(
    ISNUMBER(SEARCH("Advanced Turns",D7:D42)) +
    ISNUMBER(SEARCH("Advanced Challenger",D7:D42)) +
    ISNUMBER(SEARCH("Pro Challenger",D7:D42))
&gt;0))</f>
        <v>5</v>
      </c>
      <c r="E49" s="5" cm="1">
        <f t="array" ref="E49">SUMPRODUCT(--(
    ISNUMBER(SEARCH("Advanced Turns",E7:E42)) +
    ISNUMBER(SEARCH("Advanced Challenger",E7:E42)) +
    ISNUMBER(SEARCH("Pro Challenger",E7:E42))
&gt;0))</f>
        <v>5</v>
      </c>
      <c r="F49" s="5" cm="1">
        <f t="array" ref="F49">SUMPRODUCT(--(
    ISNUMBER(SEARCH("Advanced Turns",F7:F42)) +
    ISNUMBER(SEARCH("Advanced Challenger",F7:F42)) +
    ISNUMBER(SEARCH("Pro Challenger",F7:F42))
&gt;0))</f>
        <v>7</v>
      </c>
      <c r="G49" s="5" cm="1">
        <f t="array" ref="G49">SUMPRODUCT(--(
    ISNUMBER(SEARCH("Advanced Turns",G7:G42)) +
    ISNUMBER(SEARCH("Advanced Challenger",G7:G42)) +
    ISNUMBER(SEARCH("Pro Challenger",G7:G42))
&gt;0))</f>
        <v>7</v>
      </c>
      <c r="H49" s="22" cm="1">
        <f t="array" ref="H49">SUMPRODUCT(--(
    ISNUMBER(SEARCH("Advanced Turns",H7:H42)) +
    ISNUMBER(SEARCH("Advanced Challenger",H7:H42)) +
    ISNUMBER(SEARCH("Pro Challenger",H7:H42))
&gt;0))</f>
        <v>5</v>
      </c>
      <c r="I49" s="167">
        <f t="shared" si="10"/>
        <v>38</v>
      </c>
      <c r="J49" s="169">
        <f t="shared" si="12"/>
        <v>0.43181818181818182</v>
      </c>
      <c r="K49" s="167" t="s">
        <v>85</v>
      </c>
      <c r="L49" s="168" cm="1">
        <f t="array" ref="L49">SUMPRODUCT(--(
    ISNUMBER(SEARCH("Advanced Turns",L7:L42)) +
    ISNUMBER(SEARCH("Advanced Challenger",L7:L42)) +
    ISNUMBER(SEARCH("Pro Challenger",L7:L42))
&gt;0))</f>
        <v>0</v>
      </c>
      <c r="M49" s="5" cm="1">
        <f t="array" ref="M49">SUMPRODUCT(--(
    ISNUMBER(SEARCH("Advanced Turns",M7:M42)) +
    ISNUMBER(SEARCH("Advanced Challenger",M7:M42)) +
    ISNUMBER(SEARCH("Pro Challenger",M7:M42))
&gt;0))</f>
        <v>0</v>
      </c>
      <c r="N49" s="5" cm="1">
        <f t="array" ref="N49">SUMPRODUCT(--(
    ISNUMBER(SEARCH("Advanced Turns",N7:N42)) +
    ISNUMBER(SEARCH("Advanced Challenger",N7:N42)) +
    ISNUMBER(SEARCH("Pro Challenger",N7:N42))
&gt;0))</f>
        <v>0</v>
      </c>
      <c r="O49" s="5" cm="1">
        <f t="array" ref="O49">SUMPRODUCT(--(
    ISNUMBER(SEARCH("Advanced Turns",O7:O42)) +
    ISNUMBER(SEARCH("Advanced Challenger",O7:O42)) +
    ISNUMBER(SEARCH("Pro Challenger",O7:O42))
&gt;0))</f>
        <v>0</v>
      </c>
      <c r="P49" s="5" cm="1">
        <f t="array" ref="P49">SUMPRODUCT(--(
    ISNUMBER(SEARCH("Advanced Turns",P7:P42)) +
    ISNUMBER(SEARCH("Advanced Challenger",P7:P42)) +
    ISNUMBER(SEARCH("Pro Challenger",P7:P42))
&gt;0))</f>
        <v>0</v>
      </c>
      <c r="Q49" s="5" cm="1">
        <f t="array" ref="Q49">SUMPRODUCT(--(
    ISNUMBER(SEARCH("Advanced Turns",Q7:Q42)) +
    ISNUMBER(SEARCH("Advanced Challenger",Q7:Q42)) +
    ISNUMBER(SEARCH("Pro Challenger",Q7:Q42))
&gt;0))</f>
        <v>0</v>
      </c>
      <c r="R49" s="22" cm="1">
        <f t="array" ref="R49">SUMPRODUCT(--(
    ISNUMBER(SEARCH("Advanced Turns",R7:R42)) +
    ISNUMBER(SEARCH("Advanced Challenger",R7:R42)) +
    ISNUMBER(SEARCH("Pro Challenger",R7:R42))
&gt;0))</f>
        <v>0</v>
      </c>
      <c r="S49" s="167">
        <f t="shared" si="11"/>
        <v>0</v>
      </c>
      <c r="T49" s="169">
        <f t="shared" si="13"/>
        <v>0</v>
      </c>
    </row>
    <row r="50" spans="1:20" ht="48" customHeight="1" x14ac:dyDescent="0.2"/>
    <row r="51" spans="1:20" ht="81" customHeight="1" x14ac:dyDescent="0.2"/>
    <row r="52" spans="1:20" ht="72" customHeight="1" x14ac:dyDescent="0.2"/>
    <row r="53" spans="1:20" ht="75" customHeight="1" x14ac:dyDescent="0.2"/>
  </sheetData>
  <mergeCells count="290">
    <mergeCell ref="Q41:Q42"/>
    <mergeCell ref="R41:R42"/>
    <mergeCell ref="K41:K42"/>
    <mergeCell ref="L41:L42"/>
    <mergeCell ref="M41:M42"/>
    <mergeCell ref="N41:N42"/>
    <mergeCell ref="O41:O42"/>
    <mergeCell ref="P41:P42"/>
    <mergeCell ref="Q39:Q40"/>
    <mergeCell ref="R39:R40"/>
    <mergeCell ref="L39:L40"/>
    <mergeCell ref="M39:M40"/>
    <mergeCell ref="N39:N40"/>
    <mergeCell ref="O39:O40"/>
    <mergeCell ref="P39:P40"/>
    <mergeCell ref="A41:A42"/>
    <mergeCell ref="B41:B42"/>
    <mergeCell ref="C41:C42"/>
    <mergeCell ref="D41:D42"/>
    <mergeCell ref="E41:E42"/>
    <mergeCell ref="F41:F42"/>
    <mergeCell ref="G41:G42"/>
    <mergeCell ref="H41:H42"/>
    <mergeCell ref="K39:K40"/>
    <mergeCell ref="Q37:Q38"/>
    <mergeCell ref="R37:R38"/>
    <mergeCell ref="A39:A40"/>
    <mergeCell ref="B39:B40"/>
    <mergeCell ref="C39:C40"/>
    <mergeCell ref="D39:D40"/>
    <mergeCell ref="E39:E40"/>
    <mergeCell ref="F39:F40"/>
    <mergeCell ref="G39:G40"/>
    <mergeCell ref="H39:H40"/>
    <mergeCell ref="K37:K38"/>
    <mergeCell ref="L37:L38"/>
    <mergeCell ref="M37:M38"/>
    <mergeCell ref="N37:N38"/>
    <mergeCell ref="O37:O38"/>
    <mergeCell ref="P37:P38"/>
    <mergeCell ref="A37:A38"/>
    <mergeCell ref="B37:B38"/>
    <mergeCell ref="C37:C38"/>
    <mergeCell ref="D37:D38"/>
    <mergeCell ref="E37:E38"/>
    <mergeCell ref="F37:F38"/>
    <mergeCell ref="G37:G38"/>
    <mergeCell ref="H37:H38"/>
    <mergeCell ref="K35:K36"/>
    <mergeCell ref="Q33:Q34"/>
    <mergeCell ref="R33:R34"/>
    <mergeCell ref="A35:A36"/>
    <mergeCell ref="B35:B36"/>
    <mergeCell ref="C35:C36"/>
    <mergeCell ref="D35:D36"/>
    <mergeCell ref="E35:E36"/>
    <mergeCell ref="F35:F36"/>
    <mergeCell ref="G35:G36"/>
    <mergeCell ref="H35:H36"/>
    <mergeCell ref="K33:K34"/>
    <mergeCell ref="L33:L34"/>
    <mergeCell ref="M33:M34"/>
    <mergeCell ref="N33:N34"/>
    <mergeCell ref="O33:O34"/>
    <mergeCell ref="P33:P34"/>
    <mergeCell ref="Q35:Q36"/>
    <mergeCell ref="R35:R36"/>
    <mergeCell ref="L35:L36"/>
    <mergeCell ref="M35:M36"/>
    <mergeCell ref="N35:N36"/>
    <mergeCell ref="O35:O36"/>
    <mergeCell ref="P35:P36"/>
    <mergeCell ref="A33:A34"/>
    <mergeCell ref="B33:B34"/>
    <mergeCell ref="C33:C34"/>
    <mergeCell ref="D33:D34"/>
    <mergeCell ref="E33:E34"/>
    <mergeCell ref="F33:F34"/>
    <mergeCell ref="G33:G34"/>
    <mergeCell ref="H33:H34"/>
    <mergeCell ref="K31:K32"/>
    <mergeCell ref="R29:R30"/>
    <mergeCell ref="A31:A32"/>
    <mergeCell ref="B31:B32"/>
    <mergeCell ref="C31:C32"/>
    <mergeCell ref="D31:D32"/>
    <mergeCell ref="E31:E32"/>
    <mergeCell ref="F31:F32"/>
    <mergeCell ref="G31:G32"/>
    <mergeCell ref="H31:H32"/>
    <mergeCell ref="K29:K30"/>
    <mergeCell ref="L29:L30"/>
    <mergeCell ref="M29:M30"/>
    <mergeCell ref="N29:N30"/>
    <mergeCell ref="O29:O30"/>
    <mergeCell ref="P29:P30"/>
    <mergeCell ref="Q31:Q32"/>
    <mergeCell ref="R31:R32"/>
    <mergeCell ref="L31:L32"/>
    <mergeCell ref="M31:M32"/>
    <mergeCell ref="N31:N32"/>
    <mergeCell ref="O31:O32"/>
    <mergeCell ref="P31:P32"/>
    <mergeCell ref="A29:A30"/>
    <mergeCell ref="B29:B30"/>
    <mergeCell ref="C29:C30"/>
    <mergeCell ref="D29:D30"/>
    <mergeCell ref="E29:E30"/>
    <mergeCell ref="F29:F30"/>
    <mergeCell ref="G29:G30"/>
    <mergeCell ref="H29:H30"/>
    <mergeCell ref="K27:K28"/>
    <mergeCell ref="Q25:Q26"/>
    <mergeCell ref="C25:C26"/>
    <mergeCell ref="D25:D26"/>
    <mergeCell ref="E25:E26"/>
    <mergeCell ref="F25:F26"/>
    <mergeCell ref="G25:G26"/>
    <mergeCell ref="H25:H26"/>
    <mergeCell ref="Q29:Q30"/>
    <mergeCell ref="R25:R26"/>
    <mergeCell ref="A27:A28"/>
    <mergeCell ref="B27:B28"/>
    <mergeCell ref="C27:C28"/>
    <mergeCell ref="D27:D28"/>
    <mergeCell ref="E27:E28"/>
    <mergeCell ref="F27:F28"/>
    <mergeCell ref="G27:G28"/>
    <mergeCell ref="H27:H28"/>
    <mergeCell ref="K25:K26"/>
    <mergeCell ref="L25:L26"/>
    <mergeCell ref="M25:M26"/>
    <mergeCell ref="N25:N26"/>
    <mergeCell ref="O25:O26"/>
    <mergeCell ref="P25:P26"/>
    <mergeCell ref="Q27:Q28"/>
    <mergeCell ref="R27:R28"/>
    <mergeCell ref="L27:L28"/>
    <mergeCell ref="M27:M28"/>
    <mergeCell ref="N27:N28"/>
    <mergeCell ref="O27:O28"/>
    <mergeCell ref="P27:P28"/>
    <mergeCell ref="A25:A26"/>
    <mergeCell ref="B25:B26"/>
    <mergeCell ref="Q21:Q22"/>
    <mergeCell ref="R21:R22"/>
    <mergeCell ref="A23:A24"/>
    <mergeCell ref="B21:B22"/>
    <mergeCell ref="C21:C22"/>
    <mergeCell ref="D21:D22"/>
    <mergeCell ref="E21:E22"/>
    <mergeCell ref="F21:F22"/>
    <mergeCell ref="G23:G24"/>
    <mergeCell ref="H23:H24"/>
    <mergeCell ref="K21:K22"/>
    <mergeCell ref="L21:L22"/>
    <mergeCell ref="M21:M22"/>
    <mergeCell ref="N21:N22"/>
    <mergeCell ref="O21:O22"/>
    <mergeCell ref="P21:P22"/>
    <mergeCell ref="Q23:Q24"/>
    <mergeCell ref="R23:R24"/>
    <mergeCell ref="L23:L24"/>
    <mergeCell ref="M23:M24"/>
    <mergeCell ref="N23:N24"/>
    <mergeCell ref="O23:O24"/>
    <mergeCell ref="P23:P24"/>
    <mergeCell ref="A21:A22"/>
    <mergeCell ref="B23:B24"/>
    <mergeCell ref="C23:C24"/>
    <mergeCell ref="D23:D24"/>
    <mergeCell ref="E23:E24"/>
    <mergeCell ref="F23:F24"/>
    <mergeCell ref="G21:G22"/>
    <mergeCell ref="H21:H22"/>
    <mergeCell ref="K19:K20"/>
    <mergeCell ref="K23:K24"/>
    <mergeCell ref="R17:R18"/>
    <mergeCell ref="A19:A20"/>
    <mergeCell ref="B19:B20"/>
    <mergeCell ref="C19:C20"/>
    <mergeCell ref="D19:D20"/>
    <mergeCell ref="E19:E20"/>
    <mergeCell ref="F19:F20"/>
    <mergeCell ref="G19:G20"/>
    <mergeCell ref="H19:H20"/>
    <mergeCell ref="K17:K18"/>
    <mergeCell ref="L17:L18"/>
    <mergeCell ref="M17:M18"/>
    <mergeCell ref="N17:N18"/>
    <mergeCell ref="O17:O18"/>
    <mergeCell ref="P17:P18"/>
    <mergeCell ref="Q19:Q20"/>
    <mergeCell ref="R19:R20"/>
    <mergeCell ref="L19:L20"/>
    <mergeCell ref="M19:M20"/>
    <mergeCell ref="N19:N20"/>
    <mergeCell ref="O19:O20"/>
    <mergeCell ref="P19:P20"/>
    <mergeCell ref="A17:A18"/>
    <mergeCell ref="B17:B18"/>
    <mergeCell ref="C17:C18"/>
    <mergeCell ref="D17:D18"/>
    <mergeCell ref="E17:E18"/>
    <mergeCell ref="F17:F18"/>
    <mergeCell ref="G17:G18"/>
    <mergeCell ref="H17:H18"/>
    <mergeCell ref="K15:K16"/>
    <mergeCell ref="Q13:Q14"/>
    <mergeCell ref="C13:C14"/>
    <mergeCell ref="D13:D14"/>
    <mergeCell ref="E13:E14"/>
    <mergeCell ref="F13:F14"/>
    <mergeCell ref="G13:G14"/>
    <mergeCell ref="H13:H14"/>
    <mergeCell ref="Q17:Q18"/>
    <mergeCell ref="R13:R14"/>
    <mergeCell ref="A15:A16"/>
    <mergeCell ref="B15:B16"/>
    <mergeCell ref="C15:C16"/>
    <mergeCell ref="D15:D16"/>
    <mergeCell ref="E15:E16"/>
    <mergeCell ref="F15:F16"/>
    <mergeCell ref="G15:G16"/>
    <mergeCell ref="H15:H16"/>
    <mergeCell ref="K13:K14"/>
    <mergeCell ref="L13:L14"/>
    <mergeCell ref="M13:M14"/>
    <mergeCell ref="N13:N14"/>
    <mergeCell ref="O13:O14"/>
    <mergeCell ref="P13:P14"/>
    <mergeCell ref="Q15:Q16"/>
    <mergeCell ref="R15:R16"/>
    <mergeCell ref="L15:L16"/>
    <mergeCell ref="M15:M16"/>
    <mergeCell ref="N15:N16"/>
    <mergeCell ref="O15:O16"/>
    <mergeCell ref="P15:P16"/>
    <mergeCell ref="A13:A14"/>
    <mergeCell ref="B13:B14"/>
    <mergeCell ref="K11:K12"/>
    <mergeCell ref="Q9:Q10"/>
    <mergeCell ref="R9:R10"/>
    <mergeCell ref="A11:A12"/>
    <mergeCell ref="B11:B12"/>
    <mergeCell ref="C11:C12"/>
    <mergeCell ref="D11:D12"/>
    <mergeCell ref="E11:E12"/>
    <mergeCell ref="F11:F12"/>
    <mergeCell ref="G11:G12"/>
    <mergeCell ref="H11:H12"/>
    <mergeCell ref="K9:K10"/>
    <mergeCell ref="L9:L10"/>
    <mergeCell ref="M9:M10"/>
    <mergeCell ref="N9:N10"/>
    <mergeCell ref="O9:O10"/>
    <mergeCell ref="P9:P10"/>
    <mergeCell ref="Q11:Q12"/>
    <mergeCell ref="R11:R12"/>
    <mergeCell ref="L11:L12"/>
    <mergeCell ref="M11:M12"/>
    <mergeCell ref="N11:N12"/>
    <mergeCell ref="O11:O12"/>
    <mergeCell ref="P11:P12"/>
    <mergeCell ref="A9:A10"/>
    <mergeCell ref="B9:B10"/>
    <mergeCell ref="C9:C10"/>
    <mergeCell ref="D9:D10"/>
    <mergeCell ref="E9:E10"/>
    <mergeCell ref="F9:F10"/>
    <mergeCell ref="G9:G10"/>
    <mergeCell ref="H9:H10"/>
    <mergeCell ref="K7:K8"/>
    <mergeCell ref="A5:H5"/>
    <mergeCell ref="K5:R5"/>
    <mergeCell ref="A7:A8"/>
    <mergeCell ref="B7:B8"/>
    <mergeCell ref="C7:C8"/>
    <mergeCell ref="D7:D8"/>
    <mergeCell ref="E7:E8"/>
    <mergeCell ref="F7:F8"/>
    <mergeCell ref="G7:G8"/>
    <mergeCell ref="H7:H8"/>
    <mergeCell ref="Q7:Q8"/>
    <mergeCell ref="R7:R8"/>
    <mergeCell ref="L7:L8"/>
    <mergeCell ref="M7:M8"/>
    <mergeCell ref="N7:N8"/>
    <mergeCell ref="O7:O8"/>
    <mergeCell ref="P7:P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D44815-BD44-174D-8FC4-71A5C112F2F1}">
          <x14:formula1>
            <xm:f>'Session List'!$C$4:$C$31</xm:f>
          </x14:formula1>
          <xm:sqref>B7:H42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70DD-8C8C-A44B-8112-907D604A96F8}">
  <dimension ref="A1:M20"/>
  <sheetViews>
    <sheetView workbookViewId="0">
      <selection activeCell="H12" sqref="H12"/>
    </sheetView>
  </sheetViews>
  <sheetFormatPr baseColWidth="10" defaultColWidth="8.83203125" defaultRowHeight="16" x14ac:dyDescent="0.2"/>
  <cols>
    <col min="1" max="1" width="12" customWidth="1"/>
    <col min="2" max="2" width="18" customWidth="1"/>
    <col min="3" max="13" width="13" customWidth="1"/>
  </cols>
  <sheetData>
    <row r="1" spans="1:13" ht="30" customHeight="1" x14ac:dyDescent="0.2">
      <c r="A1" s="318" t="s">
        <v>451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</row>
    <row r="2" spans="1:13" ht="20" customHeight="1" x14ac:dyDescent="0.2">
      <c r="A2" s="320" t="s">
        <v>452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</row>
    <row r="3" spans="1:13" ht="26" x14ac:dyDescent="0.2">
      <c r="A3" s="271" t="s">
        <v>453</v>
      </c>
      <c r="B3" s="271" t="s">
        <v>454</v>
      </c>
      <c r="C3" s="271" t="s">
        <v>455</v>
      </c>
      <c r="D3" s="271" t="s">
        <v>456</v>
      </c>
      <c r="E3" s="271" t="s">
        <v>457</v>
      </c>
      <c r="F3" s="271" t="s">
        <v>458</v>
      </c>
      <c r="G3" s="271" t="s">
        <v>459</v>
      </c>
      <c r="H3" s="271" t="s">
        <v>460</v>
      </c>
      <c r="I3" s="271" t="s">
        <v>461</v>
      </c>
      <c r="J3" s="271" t="s">
        <v>462</v>
      </c>
      <c r="K3" s="271" t="s">
        <v>463</v>
      </c>
      <c r="L3" s="271" t="s">
        <v>464</v>
      </c>
      <c r="M3" s="271" t="s">
        <v>465</v>
      </c>
    </row>
    <row r="4" spans="1:13" ht="24" x14ac:dyDescent="0.2">
      <c r="A4" s="272" t="s">
        <v>466</v>
      </c>
      <c r="B4" s="273" t="s">
        <v>467</v>
      </c>
      <c r="C4" s="274" t="s">
        <v>468</v>
      </c>
      <c r="D4" s="274" t="s">
        <v>469</v>
      </c>
      <c r="E4" s="275" t="s">
        <v>470</v>
      </c>
      <c r="F4" s="276" t="s">
        <v>471</v>
      </c>
      <c r="G4" s="277" t="s">
        <v>472</v>
      </c>
      <c r="H4" s="278" t="s">
        <v>473</v>
      </c>
      <c r="I4" s="279" t="s">
        <v>474</v>
      </c>
      <c r="J4" s="280" t="s">
        <v>475</v>
      </c>
      <c r="K4" s="279" t="s">
        <v>476</v>
      </c>
      <c r="L4" s="281" t="s">
        <v>477</v>
      </c>
      <c r="M4" s="282" t="s">
        <v>478</v>
      </c>
    </row>
    <row r="5" spans="1:13" ht="24" x14ac:dyDescent="0.2">
      <c r="A5" s="272" t="s">
        <v>479</v>
      </c>
      <c r="B5" s="273" t="s">
        <v>467</v>
      </c>
      <c r="C5" s="276" t="s">
        <v>471</v>
      </c>
      <c r="D5" s="278" t="s">
        <v>473</v>
      </c>
      <c r="E5" s="274" t="s">
        <v>468</v>
      </c>
      <c r="F5" s="277" t="s">
        <v>472</v>
      </c>
      <c r="G5" s="274" t="s">
        <v>469</v>
      </c>
      <c r="H5" s="279" t="s">
        <v>474</v>
      </c>
      <c r="I5" s="280" t="s">
        <v>475</v>
      </c>
      <c r="J5" s="275" t="s">
        <v>470</v>
      </c>
      <c r="K5" s="279" t="s">
        <v>476</v>
      </c>
      <c r="L5" s="281" t="s">
        <v>477</v>
      </c>
      <c r="M5" s="282" t="s">
        <v>480</v>
      </c>
    </row>
    <row r="6" spans="1:13" ht="24" x14ac:dyDescent="0.2">
      <c r="A6" s="272" t="s">
        <v>481</v>
      </c>
      <c r="B6" s="273" t="s">
        <v>482</v>
      </c>
      <c r="C6" s="277" t="s">
        <v>472</v>
      </c>
      <c r="D6" s="279" t="s">
        <v>474</v>
      </c>
      <c r="E6" s="276" t="s">
        <v>471</v>
      </c>
      <c r="F6" s="274" t="s">
        <v>469</v>
      </c>
      <c r="G6" s="278" t="s">
        <v>473</v>
      </c>
      <c r="H6" s="280" t="s">
        <v>475</v>
      </c>
      <c r="I6" s="275" t="s">
        <v>470</v>
      </c>
      <c r="J6" s="274" t="s">
        <v>468</v>
      </c>
      <c r="K6" s="279" t="s">
        <v>476</v>
      </c>
      <c r="L6" s="281" t="s">
        <v>477</v>
      </c>
      <c r="M6" s="282" t="s">
        <v>483</v>
      </c>
    </row>
    <row r="7" spans="1:13" ht="36" x14ac:dyDescent="0.2">
      <c r="A7" s="272" t="s">
        <v>484</v>
      </c>
      <c r="B7" s="273" t="s">
        <v>482</v>
      </c>
      <c r="C7" s="274" t="s">
        <v>469</v>
      </c>
      <c r="D7" s="280" t="s">
        <v>475</v>
      </c>
      <c r="E7" s="277" t="s">
        <v>472</v>
      </c>
      <c r="F7" s="278" t="s">
        <v>473</v>
      </c>
      <c r="G7" s="279" t="s">
        <v>474</v>
      </c>
      <c r="H7" s="275" t="s">
        <v>470</v>
      </c>
      <c r="I7" s="274" t="s">
        <v>468</v>
      </c>
      <c r="J7" s="276" t="s">
        <v>471</v>
      </c>
      <c r="K7" s="279" t="s">
        <v>476</v>
      </c>
      <c r="L7" s="281" t="s">
        <v>477</v>
      </c>
      <c r="M7" s="282" t="s">
        <v>485</v>
      </c>
    </row>
    <row r="8" spans="1:13" x14ac:dyDescent="0.2">
      <c r="A8" s="272" t="s">
        <v>486</v>
      </c>
      <c r="B8" s="273" t="s">
        <v>487</v>
      </c>
      <c r="C8" s="278" t="s">
        <v>473</v>
      </c>
      <c r="D8" s="275" t="s">
        <v>470</v>
      </c>
      <c r="E8" s="274" t="s">
        <v>469</v>
      </c>
      <c r="F8" s="279" t="s">
        <v>474</v>
      </c>
      <c r="G8" s="280" t="s">
        <v>475</v>
      </c>
      <c r="H8" s="274" t="s">
        <v>468</v>
      </c>
      <c r="I8" s="276" t="s">
        <v>471</v>
      </c>
      <c r="J8" s="277" t="s">
        <v>472</v>
      </c>
      <c r="K8" s="279" t="s">
        <v>476</v>
      </c>
      <c r="L8" s="281" t="s">
        <v>477</v>
      </c>
      <c r="M8" s="282"/>
    </row>
    <row r="9" spans="1:13" x14ac:dyDescent="0.2">
      <c r="A9" s="272" t="s">
        <v>488</v>
      </c>
      <c r="B9" s="273" t="s">
        <v>487</v>
      </c>
      <c r="C9" s="279" t="s">
        <v>474</v>
      </c>
      <c r="D9" s="274" t="s">
        <v>468</v>
      </c>
      <c r="E9" s="278" t="s">
        <v>473</v>
      </c>
      <c r="F9" s="280" t="s">
        <v>475</v>
      </c>
      <c r="G9" s="275" t="s">
        <v>470</v>
      </c>
      <c r="H9" s="276" t="s">
        <v>471</v>
      </c>
      <c r="I9" s="277" t="s">
        <v>472</v>
      </c>
      <c r="J9" s="274" t="s">
        <v>469</v>
      </c>
      <c r="K9" s="279" t="s">
        <v>476</v>
      </c>
      <c r="L9" s="281" t="s">
        <v>477</v>
      </c>
      <c r="M9" s="282"/>
    </row>
    <row r="10" spans="1:13" x14ac:dyDescent="0.2">
      <c r="A10" s="272" t="s">
        <v>489</v>
      </c>
      <c r="B10" s="273" t="s">
        <v>490</v>
      </c>
      <c r="C10" s="280" t="s">
        <v>475</v>
      </c>
      <c r="D10" s="276" t="s">
        <v>471</v>
      </c>
      <c r="E10" s="279" t="s">
        <v>474</v>
      </c>
      <c r="F10" s="275" t="s">
        <v>470</v>
      </c>
      <c r="G10" s="274" t="s">
        <v>468</v>
      </c>
      <c r="H10" s="277" t="s">
        <v>472</v>
      </c>
      <c r="I10" s="274" t="s">
        <v>469</v>
      </c>
      <c r="J10" s="278" t="s">
        <v>473</v>
      </c>
      <c r="K10" s="279" t="s">
        <v>476</v>
      </c>
      <c r="L10" s="281" t="s">
        <v>477</v>
      </c>
      <c r="M10" s="282"/>
    </row>
    <row r="11" spans="1:13" x14ac:dyDescent="0.2">
      <c r="A11" s="272" t="s">
        <v>491</v>
      </c>
      <c r="B11" s="273" t="s">
        <v>490</v>
      </c>
      <c r="C11" s="275" t="s">
        <v>470</v>
      </c>
      <c r="D11" s="277" t="s">
        <v>472</v>
      </c>
      <c r="E11" s="280" t="s">
        <v>475</v>
      </c>
      <c r="F11" s="274" t="s">
        <v>468</v>
      </c>
      <c r="G11" s="276" t="s">
        <v>471</v>
      </c>
      <c r="H11" s="274" t="s">
        <v>469</v>
      </c>
      <c r="I11" s="278" t="s">
        <v>473</v>
      </c>
      <c r="J11" s="279" t="s">
        <v>474</v>
      </c>
      <c r="K11" s="279" t="s">
        <v>476</v>
      </c>
      <c r="L11" s="281" t="s">
        <v>477</v>
      </c>
      <c r="M11" s="282"/>
    </row>
    <row r="12" spans="1:13" x14ac:dyDescent="0.2">
      <c r="A12" s="272" t="s">
        <v>492</v>
      </c>
      <c r="B12" s="273" t="s">
        <v>493</v>
      </c>
      <c r="C12" s="274" t="s">
        <v>468</v>
      </c>
      <c r="D12" s="274" t="s">
        <v>469</v>
      </c>
      <c r="E12" s="275" t="s">
        <v>470</v>
      </c>
      <c r="F12" s="276" t="s">
        <v>471</v>
      </c>
      <c r="G12" s="277" t="s">
        <v>472</v>
      </c>
      <c r="H12" s="278" t="s">
        <v>473</v>
      </c>
      <c r="I12" s="279" t="s">
        <v>474</v>
      </c>
      <c r="J12" s="280" t="s">
        <v>475</v>
      </c>
      <c r="K12" s="279" t="s">
        <v>476</v>
      </c>
      <c r="L12" s="281" t="s">
        <v>477</v>
      </c>
      <c r="M12" s="282"/>
    </row>
    <row r="13" spans="1:13" ht="36" x14ac:dyDescent="0.2">
      <c r="A13" s="272" t="s">
        <v>494</v>
      </c>
      <c r="B13" s="273" t="s">
        <v>495</v>
      </c>
      <c r="C13" s="274" t="s">
        <v>496</v>
      </c>
      <c r="D13" s="278" t="s">
        <v>473</v>
      </c>
      <c r="E13" s="274" t="s">
        <v>468</v>
      </c>
      <c r="F13" s="277" t="s">
        <v>472</v>
      </c>
      <c r="G13" s="274" t="s">
        <v>469</v>
      </c>
      <c r="H13" s="279" t="s">
        <v>474</v>
      </c>
      <c r="I13" s="280" t="s">
        <v>475</v>
      </c>
      <c r="J13" s="275" t="s">
        <v>470</v>
      </c>
      <c r="K13" s="279" t="s">
        <v>497</v>
      </c>
      <c r="L13" s="281" t="s">
        <v>477</v>
      </c>
      <c r="M13" s="282" t="s">
        <v>498</v>
      </c>
    </row>
    <row r="14" spans="1:13" ht="26" x14ac:dyDescent="0.2">
      <c r="A14" s="272" t="s">
        <v>499</v>
      </c>
      <c r="B14" s="273" t="s">
        <v>500</v>
      </c>
      <c r="C14" s="276" t="s">
        <v>471</v>
      </c>
      <c r="D14" s="274" t="s">
        <v>496</v>
      </c>
      <c r="E14" s="276" t="s">
        <v>471</v>
      </c>
      <c r="F14" s="274" t="s">
        <v>469</v>
      </c>
      <c r="G14" s="278" t="s">
        <v>473</v>
      </c>
      <c r="H14" s="280" t="s">
        <v>475</v>
      </c>
      <c r="I14" s="275" t="s">
        <v>470</v>
      </c>
      <c r="J14" s="274" t="s">
        <v>468</v>
      </c>
      <c r="K14" s="279" t="s">
        <v>501</v>
      </c>
      <c r="L14" s="281" t="s">
        <v>477</v>
      </c>
      <c r="M14" s="282" t="s">
        <v>502</v>
      </c>
    </row>
    <row r="15" spans="1:13" ht="26" x14ac:dyDescent="0.2">
      <c r="A15" s="272" t="s">
        <v>503</v>
      </c>
      <c r="B15" s="273" t="s">
        <v>500</v>
      </c>
      <c r="C15" s="277" t="s">
        <v>472</v>
      </c>
      <c r="D15" s="279" t="s">
        <v>474</v>
      </c>
      <c r="E15" s="274" t="s">
        <v>496</v>
      </c>
      <c r="F15" s="278" t="s">
        <v>473</v>
      </c>
      <c r="G15" s="279" t="s">
        <v>474</v>
      </c>
      <c r="H15" s="275" t="s">
        <v>470</v>
      </c>
      <c r="I15" s="274" t="s">
        <v>468</v>
      </c>
      <c r="J15" s="276" t="s">
        <v>471</v>
      </c>
      <c r="K15" s="279" t="s">
        <v>504</v>
      </c>
      <c r="L15" s="281" t="s">
        <v>477</v>
      </c>
      <c r="M15" s="282"/>
    </row>
    <row r="16" spans="1:13" ht="26" x14ac:dyDescent="0.2">
      <c r="A16" s="272" t="s">
        <v>505</v>
      </c>
      <c r="B16" s="273" t="s">
        <v>506</v>
      </c>
      <c r="C16" s="274" t="s">
        <v>469</v>
      </c>
      <c r="D16" s="280" t="s">
        <v>475</v>
      </c>
      <c r="E16" s="277" t="s">
        <v>472</v>
      </c>
      <c r="F16" s="274" t="s">
        <v>496</v>
      </c>
      <c r="G16" s="280" t="s">
        <v>475</v>
      </c>
      <c r="H16" s="274" t="s">
        <v>468</v>
      </c>
      <c r="I16" s="276" t="s">
        <v>471</v>
      </c>
      <c r="J16" s="277" t="s">
        <v>472</v>
      </c>
      <c r="K16" s="279" t="s">
        <v>507</v>
      </c>
      <c r="L16" s="281" t="s">
        <v>477</v>
      </c>
      <c r="M16" s="282"/>
    </row>
    <row r="17" spans="1:13" ht="26" x14ac:dyDescent="0.2">
      <c r="A17" s="272" t="s">
        <v>508</v>
      </c>
      <c r="B17" s="273" t="s">
        <v>506</v>
      </c>
      <c r="C17" s="278" t="s">
        <v>473</v>
      </c>
      <c r="D17" s="275" t="s">
        <v>470</v>
      </c>
      <c r="E17" s="274" t="s">
        <v>469</v>
      </c>
      <c r="F17" s="279" t="s">
        <v>474</v>
      </c>
      <c r="G17" s="274" t="s">
        <v>496</v>
      </c>
      <c r="H17" s="276" t="s">
        <v>471</v>
      </c>
      <c r="I17" s="277" t="s">
        <v>472</v>
      </c>
      <c r="J17" s="274" t="s">
        <v>469</v>
      </c>
      <c r="K17" s="279" t="s">
        <v>509</v>
      </c>
      <c r="L17" s="281" t="s">
        <v>477</v>
      </c>
      <c r="M17" s="282"/>
    </row>
    <row r="18" spans="1:13" ht="26" x14ac:dyDescent="0.2">
      <c r="A18" s="272" t="s">
        <v>510</v>
      </c>
      <c r="B18" s="273" t="s">
        <v>511</v>
      </c>
      <c r="C18" s="279" t="s">
        <v>474</v>
      </c>
      <c r="D18" s="274" t="s">
        <v>468</v>
      </c>
      <c r="E18" s="278" t="s">
        <v>473</v>
      </c>
      <c r="F18" s="280" t="s">
        <v>475</v>
      </c>
      <c r="G18" s="275" t="s">
        <v>470</v>
      </c>
      <c r="H18" s="274" t="s">
        <v>496</v>
      </c>
      <c r="I18" s="274" t="s">
        <v>469</v>
      </c>
      <c r="J18" s="278" t="s">
        <v>473</v>
      </c>
      <c r="K18" s="279" t="s">
        <v>512</v>
      </c>
      <c r="L18" s="281" t="s">
        <v>477</v>
      </c>
      <c r="M18" s="282"/>
    </row>
    <row r="19" spans="1:13" ht="26" x14ac:dyDescent="0.2">
      <c r="A19" s="272" t="s">
        <v>513</v>
      </c>
      <c r="B19" s="273" t="s">
        <v>511</v>
      </c>
      <c r="C19" s="280" t="s">
        <v>475</v>
      </c>
      <c r="D19" s="276" t="s">
        <v>471</v>
      </c>
      <c r="E19" s="279" t="s">
        <v>474</v>
      </c>
      <c r="F19" s="275" t="s">
        <v>470</v>
      </c>
      <c r="G19" s="274" t="s">
        <v>468</v>
      </c>
      <c r="H19" s="277" t="s">
        <v>472</v>
      </c>
      <c r="I19" s="274" t="s">
        <v>496</v>
      </c>
      <c r="J19" s="279" t="s">
        <v>474</v>
      </c>
      <c r="K19" s="279" t="s">
        <v>514</v>
      </c>
      <c r="L19" s="281" t="s">
        <v>477</v>
      </c>
      <c r="M19" s="282"/>
    </row>
    <row r="20" spans="1:13" ht="26" x14ac:dyDescent="0.2">
      <c r="A20" s="272" t="s">
        <v>515</v>
      </c>
      <c r="B20" s="273" t="s">
        <v>13</v>
      </c>
      <c r="C20" s="275" t="s">
        <v>470</v>
      </c>
      <c r="D20" s="277" t="s">
        <v>472</v>
      </c>
      <c r="E20" s="280" t="s">
        <v>475</v>
      </c>
      <c r="F20" s="274" t="s">
        <v>468</v>
      </c>
      <c r="G20" s="276" t="s">
        <v>471</v>
      </c>
      <c r="H20" s="274" t="s">
        <v>469</v>
      </c>
      <c r="I20" s="278" t="s">
        <v>473</v>
      </c>
      <c r="J20" s="274" t="s">
        <v>496</v>
      </c>
      <c r="K20" s="279" t="s">
        <v>516</v>
      </c>
      <c r="L20" s="281" t="s">
        <v>477</v>
      </c>
      <c r="M20" s="282" t="s">
        <v>517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26DC-4CC1-2149-B25F-147AEB95E9BD}">
  <dimension ref="A1:N12"/>
  <sheetViews>
    <sheetView topLeftCell="A2" workbookViewId="0">
      <selection activeCell="B4" sqref="B4:D12"/>
    </sheetView>
  </sheetViews>
  <sheetFormatPr baseColWidth="10" defaultRowHeight="16" x14ac:dyDescent="0.2"/>
  <cols>
    <col min="1" max="1" width="15.6640625" style="23" customWidth="1"/>
    <col min="2" max="2" width="27.1640625" style="23" customWidth="1"/>
    <col min="3" max="3" width="20.1640625" style="23" customWidth="1"/>
    <col min="4" max="4" width="19.33203125" style="23" customWidth="1"/>
    <col min="5" max="5" width="14.33203125" style="23" customWidth="1"/>
    <col min="6" max="6" width="14.1640625" style="23" customWidth="1"/>
    <col min="7" max="7" width="9.83203125" style="23" customWidth="1"/>
    <col min="8" max="8" width="26" style="23" hidden="1" customWidth="1"/>
    <col min="9" max="9" width="21.33203125" style="23" hidden="1" customWidth="1"/>
    <col min="10" max="10" width="19.1640625" style="21" bestFit="1" customWidth="1"/>
    <col min="11" max="11" width="10.6640625" style="23" customWidth="1"/>
    <col min="12" max="12" width="11.33203125" style="23" customWidth="1"/>
    <col min="13" max="13" width="14.83203125" style="23" customWidth="1"/>
    <col min="14" max="16384" width="10.83203125" style="23"/>
  </cols>
  <sheetData>
    <row r="1" spans="1:14" ht="17" customHeight="1" thickBot="1" x14ac:dyDescent="0.25">
      <c r="A1" s="321" t="s">
        <v>398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3"/>
    </row>
    <row r="2" spans="1:14" ht="69" thickBot="1" x14ac:dyDescent="0.25">
      <c r="A2" s="175" t="s">
        <v>397</v>
      </c>
      <c r="B2" s="176" t="s">
        <v>6</v>
      </c>
      <c r="C2" s="176" t="s">
        <v>1</v>
      </c>
      <c r="D2" s="176" t="s">
        <v>30</v>
      </c>
      <c r="E2" s="177" t="s">
        <v>37</v>
      </c>
      <c r="F2" s="177" t="s">
        <v>39</v>
      </c>
      <c r="G2" s="177" t="s">
        <v>181</v>
      </c>
      <c r="H2" s="177" t="s">
        <v>41</v>
      </c>
      <c r="I2" s="177" t="s">
        <v>28</v>
      </c>
      <c r="J2" s="177" t="s">
        <v>99</v>
      </c>
      <c r="K2" s="178" t="s">
        <v>91</v>
      </c>
      <c r="L2" s="84" t="s">
        <v>94</v>
      </c>
      <c r="M2" s="180" t="s">
        <v>35</v>
      </c>
      <c r="N2" s="84" t="s">
        <v>326</v>
      </c>
    </row>
    <row r="3" spans="1:14" ht="52" thickBot="1" x14ac:dyDescent="0.25">
      <c r="A3" s="33" t="s">
        <v>16</v>
      </c>
      <c r="B3" s="171" t="s">
        <v>327</v>
      </c>
      <c r="C3" s="171"/>
      <c r="D3" s="171"/>
      <c r="E3" s="85" t="s">
        <v>82</v>
      </c>
      <c r="F3" s="172" t="s">
        <v>90</v>
      </c>
      <c r="G3" s="172" t="s">
        <v>183</v>
      </c>
      <c r="H3" s="172" t="s">
        <v>327</v>
      </c>
      <c r="I3" s="173" t="s">
        <v>83</v>
      </c>
      <c r="J3" s="172" t="s">
        <v>98</v>
      </c>
      <c r="K3" s="173" t="s">
        <v>92</v>
      </c>
      <c r="L3" s="174" t="s">
        <v>96</v>
      </c>
      <c r="M3" s="187" t="s">
        <v>325</v>
      </c>
      <c r="N3" s="182">
        <v>20</v>
      </c>
    </row>
    <row r="4" spans="1:14" ht="34" x14ac:dyDescent="0.2">
      <c r="A4" s="18" t="s">
        <v>17</v>
      </c>
      <c r="B4" s="76" t="s">
        <v>187</v>
      </c>
      <c r="C4" s="87"/>
      <c r="D4" s="87"/>
      <c r="E4" s="88" t="s">
        <v>81</v>
      </c>
      <c r="F4" s="88" t="s">
        <v>18</v>
      </c>
      <c r="G4" s="88" t="s">
        <v>183</v>
      </c>
      <c r="H4" s="88" t="s">
        <v>11</v>
      </c>
      <c r="I4" s="89" t="s">
        <v>11</v>
      </c>
      <c r="J4" s="41" t="s">
        <v>102</v>
      </c>
      <c r="K4" s="324" t="s">
        <v>93</v>
      </c>
      <c r="L4" s="327" t="s">
        <v>95</v>
      </c>
      <c r="M4" s="181" t="s">
        <v>97</v>
      </c>
      <c r="N4" s="183">
        <v>19</v>
      </c>
    </row>
    <row r="5" spans="1:14" ht="68" customHeight="1" x14ac:dyDescent="0.2">
      <c r="A5" s="20" t="s">
        <v>32</v>
      </c>
      <c r="B5" s="45" t="s">
        <v>89</v>
      </c>
      <c r="C5" s="90"/>
      <c r="D5" s="90"/>
      <c r="E5" s="44" t="s">
        <v>324</v>
      </c>
      <c r="F5" s="44" t="s">
        <v>323</v>
      </c>
      <c r="G5" s="44" t="s">
        <v>183</v>
      </c>
      <c r="H5" s="44" t="s">
        <v>2</v>
      </c>
      <c r="I5" s="86" t="s">
        <v>2</v>
      </c>
      <c r="J5" s="41" t="s">
        <v>103</v>
      </c>
      <c r="K5" s="325"/>
      <c r="L5" s="328"/>
      <c r="M5" s="181" t="s">
        <v>97</v>
      </c>
      <c r="N5" s="183">
        <v>18</v>
      </c>
    </row>
    <row r="6" spans="1:14" ht="17" x14ac:dyDescent="0.2">
      <c r="A6" s="179"/>
      <c r="B6" s="90"/>
      <c r="C6" s="45" t="s">
        <v>42</v>
      </c>
      <c r="D6" s="90"/>
      <c r="E6" s="44" t="s">
        <v>3</v>
      </c>
      <c r="F6" s="44" t="s">
        <v>20</v>
      </c>
      <c r="G6" s="44" t="s">
        <v>182</v>
      </c>
      <c r="H6" s="44" t="s">
        <v>42</v>
      </c>
      <c r="I6" s="86" t="s">
        <v>3</v>
      </c>
      <c r="J6" s="41" t="s">
        <v>101</v>
      </c>
      <c r="K6" s="325"/>
      <c r="L6" s="328"/>
      <c r="M6" s="181" t="s">
        <v>97</v>
      </c>
      <c r="N6" s="183">
        <v>14</v>
      </c>
    </row>
    <row r="7" spans="1:14" ht="17" x14ac:dyDescent="0.2">
      <c r="A7" s="179"/>
      <c r="B7" s="90"/>
      <c r="C7" s="45" t="s">
        <v>43</v>
      </c>
      <c r="D7" s="92"/>
      <c r="E7" s="44" t="s">
        <v>4</v>
      </c>
      <c r="F7" s="44" t="s">
        <v>27</v>
      </c>
      <c r="G7" s="44" t="s">
        <v>184</v>
      </c>
      <c r="H7" s="93" t="s">
        <v>44</v>
      </c>
      <c r="I7" s="86" t="s">
        <v>4</v>
      </c>
      <c r="J7" s="41" t="s">
        <v>100</v>
      </c>
      <c r="K7" s="325"/>
      <c r="L7" s="328"/>
      <c r="M7" s="181" t="s">
        <v>97</v>
      </c>
      <c r="N7" s="183">
        <v>12</v>
      </c>
    </row>
    <row r="8" spans="1:14" ht="34" x14ac:dyDescent="0.2">
      <c r="A8" s="91"/>
      <c r="B8" s="90"/>
      <c r="C8" s="94" t="s">
        <v>12</v>
      </c>
      <c r="D8" s="94"/>
      <c r="E8" s="44" t="s">
        <v>34</v>
      </c>
      <c r="F8" s="44" t="s">
        <v>26</v>
      </c>
      <c r="G8" s="44" t="s">
        <v>328</v>
      </c>
      <c r="H8" s="93" t="s">
        <v>45</v>
      </c>
      <c r="I8" s="86" t="s">
        <v>13</v>
      </c>
      <c r="J8" s="41" t="s">
        <v>122</v>
      </c>
      <c r="K8" s="325"/>
      <c r="L8" s="328"/>
      <c r="M8" s="181" t="s">
        <v>97</v>
      </c>
      <c r="N8" s="183">
        <v>11</v>
      </c>
    </row>
    <row r="9" spans="1:14" ht="17" x14ac:dyDescent="0.2">
      <c r="A9" s="91"/>
      <c r="B9" s="90"/>
      <c r="C9" s="94"/>
      <c r="D9" s="45" t="s">
        <v>4</v>
      </c>
      <c r="E9" s="44" t="s">
        <v>7</v>
      </c>
      <c r="F9" s="44" t="s">
        <v>21</v>
      </c>
      <c r="G9" s="44" t="s">
        <v>328</v>
      </c>
      <c r="H9" s="93" t="s">
        <v>4</v>
      </c>
      <c r="I9" s="86" t="s">
        <v>14</v>
      </c>
      <c r="J9" s="41" t="s">
        <v>123</v>
      </c>
      <c r="K9" s="325"/>
      <c r="L9" s="328"/>
      <c r="M9" s="181" t="s">
        <v>97</v>
      </c>
      <c r="N9" s="183">
        <v>12</v>
      </c>
    </row>
    <row r="10" spans="1:14" ht="17" x14ac:dyDescent="0.2">
      <c r="A10" s="91"/>
      <c r="B10" s="90"/>
      <c r="C10" s="90"/>
      <c r="D10" s="45" t="s">
        <v>31</v>
      </c>
      <c r="E10" s="44" t="s">
        <v>8</v>
      </c>
      <c r="F10" s="44" t="s">
        <v>22</v>
      </c>
      <c r="G10" s="44" t="s">
        <v>328</v>
      </c>
      <c r="H10" s="93" t="s">
        <v>38</v>
      </c>
      <c r="I10" s="86" t="s">
        <v>29</v>
      </c>
      <c r="J10" s="41" t="s">
        <v>124</v>
      </c>
      <c r="K10" s="325"/>
      <c r="L10" s="328"/>
      <c r="M10" s="181" t="s">
        <v>97</v>
      </c>
      <c r="N10" s="183">
        <v>12</v>
      </c>
    </row>
    <row r="11" spans="1:14" ht="35" thickBot="1" x14ac:dyDescent="0.25">
      <c r="A11" s="91"/>
      <c r="B11" s="90"/>
      <c r="C11" s="90"/>
      <c r="D11" s="94" t="s">
        <v>33</v>
      </c>
      <c r="E11" s="44" t="s">
        <v>9</v>
      </c>
      <c r="F11" s="44" t="s">
        <v>23</v>
      </c>
      <c r="G11" s="44" t="s">
        <v>328</v>
      </c>
      <c r="H11" s="93" t="s">
        <v>13</v>
      </c>
      <c r="I11" s="86" t="s">
        <v>25</v>
      </c>
      <c r="J11" s="41" t="s">
        <v>120</v>
      </c>
      <c r="K11" s="325"/>
      <c r="L11" s="328"/>
      <c r="M11" s="185" t="s">
        <v>97</v>
      </c>
      <c r="N11" s="183">
        <v>10</v>
      </c>
    </row>
    <row r="12" spans="1:14" ht="18" thickBot="1" x14ac:dyDescent="0.25">
      <c r="A12" s="95"/>
      <c r="B12" s="96"/>
      <c r="C12" s="96"/>
      <c r="D12" s="97" t="s">
        <v>125</v>
      </c>
      <c r="E12" s="98" t="s">
        <v>10</v>
      </c>
      <c r="F12" s="98" t="s">
        <v>24</v>
      </c>
      <c r="G12" s="44" t="s">
        <v>328</v>
      </c>
      <c r="H12" s="98" t="s">
        <v>15</v>
      </c>
      <c r="I12" s="99" t="s">
        <v>15</v>
      </c>
      <c r="J12" s="100" t="s">
        <v>121</v>
      </c>
      <c r="K12" s="326"/>
      <c r="L12" s="329"/>
      <c r="M12" s="186" t="s">
        <v>97</v>
      </c>
      <c r="N12" s="184">
        <v>10</v>
      </c>
    </row>
  </sheetData>
  <mergeCells count="3">
    <mergeCell ref="A1:N1"/>
    <mergeCell ref="K4:K12"/>
    <mergeCell ref="L4:L12"/>
  </mergeCell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7660-5924-DE4D-B79F-BBCB1C144BCC}">
  <dimension ref="A1:L68"/>
  <sheetViews>
    <sheetView topLeftCell="A35" workbookViewId="0">
      <selection activeCell="F65" sqref="F65"/>
    </sheetView>
  </sheetViews>
  <sheetFormatPr baseColWidth="10" defaultRowHeight="16" x14ac:dyDescent="0.2"/>
  <cols>
    <col min="1" max="1" width="14.6640625" bestFit="1" customWidth="1"/>
    <col min="2" max="2" width="21" bestFit="1" customWidth="1"/>
    <col min="3" max="3" width="21" customWidth="1"/>
    <col min="4" max="4" width="12.83203125" bestFit="1" customWidth="1"/>
    <col min="8" max="8" width="13.1640625" bestFit="1" customWidth="1"/>
  </cols>
  <sheetData>
    <row r="1" spans="1:7" hidden="1" x14ac:dyDescent="0.2">
      <c r="D1" t="s">
        <v>350</v>
      </c>
      <c r="E1" t="s">
        <v>265</v>
      </c>
      <c r="F1" t="s">
        <v>351</v>
      </c>
    </row>
    <row r="2" spans="1:7" hidden="1" x14ac:dyDescent="0.2">
      <c r="A2">
        <v>1</v>
      </c>
      <c r="B2" t="s">
        <v>333</v>
      </c>
    </row>
    <row r="3" spans="1:7" hidden="1" x14ac:dyDescent="0.2">
      <c r="A3">
        <v>2</v>
      </c>
      <c r="B3" t="s">
        <v>334</v>
      </c>
    </row>
    <row r="4" spans="1:7" hidden="1" x14ac:dyDescent="0.2">
      <c r="A4">
        <v>3</v>
      </c>
      <c r="B4" t="s">
        <v>337</v>
      </c>
    </row>
    <row r="5" spans="1:7" hidden="1" x14ac:dyDescent="0.2">
      <c r="A5">
        <v>4</v>
      </c>
      <c r="B5" t="s">
        <v>335</v>
      </c>
    </row>
    <row r="6" spans="1:7" hidden="1" x14ac:dyDescent="0.2">
      <c r="A6">
        <v>5</v>
      </c>
      <c r="B6" t="s">
        <v>267</v>
      </c>
    </row>
    <row r="7" spans="1:7" hidden="1" x14ac:dyDescent="0.2">
      <c r="A7">
        <v>6</v>
      </c>
      <c r="B7" t="s">
        <v>336</v>
      </c>
    </row>
    <row r="8" spans="1:7" hidden="1" x14ac:dyDescent="0.2">
      <c r="A8">
        <v>7</v>
      </c>
      <c r="B8" t="s">
        <v>349</v>
      </c>
    </row>
    <row r="9" spans="1:7" hidden="1" x14ac:dyDescent="0.2"/>
    <row r="10" spans="1:7" hidden="1" x14ac:dyDescent="0.2"/>
    <row r="11" spans="1:7" hidden="1" x14ac:dyDescent="0.2">
      <c r="D11" t="s">
        <v>356</v>
      </c>
      <c r="E11" t="s">
        <v>357</v>
      </c>
      <c r="F11" t="s">
        <v>358</v>
      </c>
      <c r="G11" t="s">
        <v>359</v>
      </c>
    </row>
    <row r="12" spans="1:7" hidden="1" x14ac:dyDescent="0.2">
      <c r="A12">
        <v>1</v>
      </c>
      <c r="B12" t="s">
        <v>333</v>
      </c>
      <c r="D12">
        <v>9</v>
      </c>
      <c r="E12">
        <v>4.5</v>
      </c>
      <c r="F12">
        <v>40.5</v>
      </c>
    </row>
    <row r="13" spans="1:7" hidden="1" x14ac:dyDescent="0.2">
      <c r="A13">
        <v>2</v>
      </c>
      <c r="B13" t="s">
        <v>334</v>
      </c>
    </row>
    <row r="14" spans="1:7" hidden="1" x14ac:dyDescent="0.2">
      <c r="A14">
        <v>3</v>
      </c>
      <c r="B14" t="s">
        <v>337</v>
      </c>
    </row>
    <row r="15" spans="1:7" hidden="1" x14ac:dyDescent="0.2">
      <c r="A15">
        <v>4</v>
      </c>
      <c r="B15" t="s">
        <v>335</v>
      </c>
    </row>
    <row r="16" spans="1:7" hidden="1" x14ac:dyDescent="0.2">
      <c r="A16">
        <v>5</v>
      </c>
      <c r="B16" t="s">
        <v>267</v>
      </c>
    </row>
    <row r="17" spans="1:8" hidden="1" x14ac:dyDescent="0.2">
      <c r="A17">
        <v>6</v>
      </c>
      <c r="B17" t="s">
        <v>336</v>
      </c>
    </row>
    <row r="18" spans="1:8" hidden="1" x14ac:dyDescent="0.2">
      <c r="A18">
        <v>7</v>
      </c>
      <c r="B18" t="s">
        <v>349</v>
      </c>
    </row>
    <row r="19" spans="1:8" hidden="1" x14ac:dyDescent="0.2"/>
    <row r="20" spans="1:8" hidden="1" x14ac:dyDescent="0.2">
      <c r="D20" t="s">
        <v>363</v>
      </c>
      <c r="E20" t="s">
        <v>361</v>
      </c>
      <c r="F20" t="s">
        <v>362</v>
      </c>
    </row>
    <row r="21" spans="1:8" hidden="1" x14ac:dyDescent="0.2">
      <c r="B21" t="s">
        <v>333</v>
      </c>
      <c r="D21" t="s">
        <v>360</v>
      </c>
      <c r="E21">
        <v>30</v>
      </c>
      <c r="F21">
        <v>9</v>
      </c>
    </row>
    <row r="22" spans="1:8" hidden="1" x14ac:dyDescent="0.2">
      <c r="B22" t="s">
        <v>333</v>
      </c>
      <c r="D22">
        <v>6</v>
      </c>
      <c r="E22">
        <v>9</v>
      </c>
      <c r="F22">
        <v>6</v>
      </c>
    </row>
    <row r="23" spans="1:8" hidden="1" x14ac:dyDescent="0.2">
      <c r="B23" t="s">
        <v>333</v>
      </c>
      <c r="D23">
        <v>3.5</v>
      </c>
      <c r="E23">
        <v>6</v>
      </c>
      <c r="F23" t="s">
        <v>365</v>
      </c>
    </row>
    <row r="24" spans="1:8" hidden="1" x14ac:dyDescent="0.2">
      <c r="B24" t="s">
        <v>364</v>
      </c>
      <c r="D24">
        <v>4.5</v>
      </c>
      <c r="E24">
        <v>33</v>
      </c>
      <c r="F24">
        <v>3</v>
      </c>
    </row>
    <row r="26" spans="1:8" x14ac:dyDescent="0.2">
      <c r="D26" t="s">
        <v>431</v>
      </c>
      <c r="E26" t="s">
        <v>374</v>
      </c>
      <c r="F26" t="s">
        <v>372</v>
      </c>
      <c r="G26" s="1" t="s">
        <v>371</v>
      </c>
      <c r="H26" s="1" t="s">
        <v>46</v>
      </c>
    </row>
    <row r="27" spans="1:8" x14ac:dyDescent="0.2">
      <c r="B27" t="s">
        <v>366</v>
      </c>
      <c r="D27" t="s">
        <v>367</v>
      </c>
      <c r="E27" s="338">
        <v>501</v>
      </c>
      <c r="F27" s="338">
        <v>46</v>
      </c>
      <c r="G27" s="338">
        <v>72</v>
      </c>
      <c r="H27" s="338">
        <f>SUM(E27:G28)</f>
        <v>619</v>
      </c>
    </row>
    <row r="28" spans="1:8" x14ac:dyDescent="0.2">
      <c r="B28" t="s">
        <v>368</v>
      </c>
      <c r="D28" t="s">
        <v>367</v>
      </c>
      <c r="E28" s="338"/>
      <c r="F28" s="338"/>
      <c r="G28" s="338"/>
      <c r="H28" s="338"/>
    </row>
    <row r="29" spans="1:8" x14ac:dyDescent="0.2">
      <c r="B29" t="s">
        <v>75</v>
      </c>
      <c r="D29" t="s">
        <v>369</v>
      </c>
      <c r="E29" s="2">
        <v>129</v>
      </c>
      <c r="F29" s="2">
        <v>12.5</v>
      </c>
      <c r="G29" s="2">
        <v>24</v>
      </c>
      <c r="H29" s="2">
        <f t="shared" ref="H29:H30" si="0">SUM(E29:G29)</f>
        <v>165.5</v>
      </c>
    </row>
    <row r="30" spans="1:8" x14ac:dyDescent="0.2">
      <c r="B30" t="s">
        <v>52</v>
      </c>
      <c r="D30" t="s">
        <v>370</v>
      </c>
      <c r="E30" s="2">
        <v>129</v>
      </c>
      <c r="F30" s="2">
        <v>13.5</v>
      </c>
      <c r="G30" s="2">
        <v>27</v>
      </c>
      <c r="H30" s="2">
        <f t="shared" si="0"/>
        <v>169.5</v>
      </c>
    </row>
    <row r="31" spans="1:8" x14ac:dyDescent="0.2">
      <c r="B31" t="s">
        <v>53</v>
      </c>
      <c r="D31" t="s">
        <v>369</v>
      </c>
      <c r="E31" s="2">
        <v>126</v>
      </c>
      <c r="F31" s="2">
        <v>12.5</v>
      </c>
      <c r="G31" s="2">
        <v>26</v>
      </c>
      <c r="H31" s="2">
        <f>SUM(E31:G31)</f>
        <v>164.5</v>
      </c>
    </row>
    <row r="32" spans="1:8" x14ac:dyDescent="0.2">
      <c r="B32" t="s">
        <v>46</v>
      </c>
      <c r="D32" t="s">
        <v>373</v>
      </c>
      <c r="E32" s="2">
        <f>SUM(E27:E31)</f>
        <v>885</v>
      </c>
      <c r="F32" s="2">
        <f t="shared" ref="F32:H32" si="1">SUM(F27:F31)</f>
        <v>84.5</v>
      </c>
      <c r="G32" s="2">
        <f t="shared" si="1"/>
        <v>149</v>
      </c>
      <c r="H32" s="2">
        <f t="shared" si="1"/>
        <v>1118.5</v>
      </c>
    </row>
    <row r="33" spans="1:12" x14ac:dyDescent="0.2">
      <c r="D33" t="s">
        <v>350</v>
      </c>
      <c r="E33">
        <v>23</v>
      </c>
      <c r="F33">
        <v>3</v>
      </c>
      <c r="G33">
        <v>4</v>
      </c>
      <c r="H33">
        <v>28</v>
      </c>
    </row>
    <row r="34" spans="1:12" x14ac:dyDescent="0.2">
      <c r="D34" t="s">
        <v>265</v>
      </c>
      <c r="E34" s="268">
        <f>E32/20</f>
        <v>44.25</v>
      </c>
      <c r="F34" s="268">
        <f t="shared" ref="F34:H34" si="2">F32/20</f>
        <v>4.2249999999999996</v>
      </c>
      <c r="G34" s="268">
        <f t="shared" si="2"/>
        <v>7.45</v>
      </c>
      <c r="H34" s="268">
        <f t="shared" si="2"/>
        <v>55.924999999999997</v>
      </c>
    </row>
    <row r="35" spans="1:12" ht="17" thickBot="1" x14ac:dyDescent="0.25"/>
    <row r="36" spans="1:12" ht="17" thickBot="1" x14ac:dyDescent="0.25">
      <c r="A36" s="262"/>
      <c r="B36" s="218" t="s">
        <v>430</v>
      </c>
      <c r="C36" s="218" t="s">
        <v>437</v>
      </c>
      <c r="D36" s="218" t="s">
        <v>429</v>
      </c>
      <c r="E36" s="6" t="s">
        <v>388</v>
      </c>
      <c r="F36" s="6" t="s">
        <v>383</v>
      </c>
      <c r="G36" s="6" t="s">
        <v>262</v>
      </c>
      <c r="H36" s="7" t="s">
        <v>434</v>
      </c>
      <c r="I36" s="1" t="s">
        <v>388</v>
      </c>
      <c r="J36" s="1" t="s">
        <v>435</v>
      </c>
      <c r="K36" s="1" t="s">
        <v>436</v>
      </c>
      <c r="L36" s="1"/>
    </row>
    <row r="37" spans="1:12" x14ac:dyDescent="0.2">
      <c r="A37" s="330" t="s">
        <v>427</v>
      </c>
      <c r="B37" s="264" t="s">
        <v>338</v>
      </c>
      <c r="C37" s="264" t="s">
        <v>440</v>
      </c>
      <c r="D37" s="204" t="s">
        <v>377</v>
      </c>
      <c r="E37" s="13">
        <v>22.5</v>
      </c>
      <c r="F37" s="13">
        <v>4</v>
      </c>
      <c r="G37" s="339">
        <f>SUM(F37:F39)</f>
        <v>12</v>
      </c>
      <c r="H37" s="340">
        <v>15</v>
      </c>
      <c r="I37" s="1">
        <v>6</v>
      </c>
      <c r="J37" s="1">
        <v>5</v>
      </c>
      <c r="K37" s="1">
        <v>4</v>
      </c>
      <c r="L37" s="1">
        <f>J37*K37*I37</f>
        <v>120</v>
      </c>
    </row>
    <row r="38" spans="1:12" x14ac:dyDescent="0.2">
      <c r="A38" s="331"/>
      <c r="B38" s="265" t="s">
        <v>338</v>
      </c>
      <c r="C38" s="264" t="s">
        <v>440</v>
      </c>
      <c r="D38" s="200" t="s">
        <v>376</v>
      </c>
      <c r="E38" s="25">
        <v>24</v>
      </c>
      <c r="F38" s="25">
        <v>4</v>
      </c>
      <c r="G38" s="336"/>
      <c r="H38" s="334"/>
      <c r="I38" s="1">
        <v>6</v>
      </c>
      <c r="J38" s="1">
        <v>5</v>
      </c>
      <c r="K38" s="1">
        <v>4</v>
      </c>
      <c r="L38" s="1">
        <f t="shared" ref="L38:L56" si="3">J38*K38*I38</f>
        <v>120</v>
      </c>
    </row>
    <row r="39" spans="1:12" x14ac:dyDescent="0.2">
      <c r="A39" s="331"/>
      <c r="B39" s="265" t="s">
        <v>338</v>
      </c>
      <c r="C39" s="264" t="s">
        <v>440</v>
      </c>
      <c r="D39" s="200" t="s">
        <v>378</v>
      </c>
      <c r="E39" s="25">
        <v>21.5</v>
      </c>
      <c r="F39" s="25">
        <v>4</v>
      </c>
      <c r="G39" s="336"/>
      <c r="H39" s="334"/>
      <c r="I39" s="1">
        <v>6</v>
      </c>
      <c r="J39" s="1">
        <v>5</v>
      </c>
      <c r="K39" s="1">
        <v>4</v>
      </c>
      <c r="L39" s="1">
        <f t="shared" si="3"/>
        <v>120</v>
      </c>
    </row>
    <row r="40" spans="1:12" x14ac:dyDescent="0.2">
      <c r="A40" s="331"/>
      <c r="B40" s="265" t="s">
        <v>339</v>
      </c>
      <c r="C40" s="269" t="s">
        <v>438</v>
      </c>
      <c r="D40" s="200" t="s">
        <v>377</v>
      </c>
      <c r="E40" s="25">
        <v>22.5</v>
      </c>
      <c r="F40" s="25">
        <v>3</v>
      </c>
      <c r="G40" s="336">
        <f>SUM(F40:F43)</f>
        <v>15</v>
      </c>
      <c r="H40" s="334">
        <v>20</v>
      </c>
      <c r="I40" s="1">
        <v>6</v>
      </c>
      <c r="J40" s="1">
        <v>5</v>
      </c>
      <c r="K40" s="1">
        <v>5</v>
      </c>
      <c r="L40" s="1">
        <f t="shared" si="3"/>
        <v>150</v>
      </c>
    </row>
    <row r="41" spans="1:12" x14ac:dyDescent="0.2">
      <c r="A41" s="331"/>
      <c r="B41" s="266" t="s">
        <v>387</v>
      </c>
      <c r="C41" s="269" t="s">
        <v>438</v>
      </c>
      <c r="D41" s="202" t="s">
        <v>377</v>
      </c>
      <c r="E41" s="203">
        <v>30</v>
      </c>
      <c r="F41" s="203">
        <v>2</v>
      </c>
      <c r="G41" s="336"/>
      <c r="H41" s="334"/>
      <c r="I41" s="1">
        <v>6</v>
      </c>
      <c r="J41" s="1">
        <v>5</v>
      </c>
      <c r="K41" s="1">
        <v>2</v>
      </c>
      <c r="L41" s="1">
        <f t="shared" si="3"/>
        <v>60</v>
      </c>
    </row>
    <row r="42" spans="1:12" x14ac:dyDescent="0.2">
      <c r="A42" s="331"/>
      <c r="B42" s="265" t="s">
        <v>339</v>
      </c>
      <c r="C42" s="269" t="s">
        <v>438</v>
      </c>
      <c r="D42" s="200" t="s">
        <v>376</v>
      </c>
      <c r="E42" s="25">
        <v>24</v>
      </c>
      <c r="F42" s="25">
        <v>5</v>
      </c>
      <c r="G42" s="336"/>
      <c r="H42" s="334"/>
      <c r="I42" s="1">
        <v>6</v>
      </c>
      <c r="J42" s="1">
        <v>5</v>
      </c>
      <c r="K42" s="1">
        <v>5</v>
      </c>
      <c r="L42" s="1">
        <f t="shared" si="3"/>
        <v>150</v>
      </c>
    </row>
    <row r="43" spans="1:12" x14ac:dyDescent="0.2">
      <c r="A43" s="331"/>
      <c r="B43" s="265" t="s">
        <v>339</v>
      </c>
      <c r="C43" s="269" t="s">
        <v>438</v>
      </c>
      <c r="D43" s="200" t="s">
        <v>378</v>
      </c>
      <c r="E43" s="25">
        <v>21.5</v>
      </c>
      <c r="F43" s="25">
        <v>5</v>
      </c>
      <c r="G43" s="336"/>
      <c r="H43" s="334"/>
      <c r="I43" s="1">
        <v>6</v>
      </c>
      <c r="J43" s="1">
        <v>5</v>
      </c>
      <c r="K43" s="1">
        <v>5</v>
      </c>
      <c r="L43" s="1">
        <f t="shared" si="3"/>
        <v>150</v>
      </c>
    </row>
    <row r="44" spans="1:12" x14ac:dyDescent="0.2">
      <c r="A44" s="331"/>
      <c r="B44" s="265" t="s">
        <v>267</v>
      </c>
      <c r="C44" s="269" t="s">
        <v>438</v>
      </c>
      <c r="D44" s="200" t="s">
        <v>375</v>
      </c>
      <c r="E44" s="25">
        <v>10</v>
      </c>
      <c r="F44" s="25">
        <v>6</v>
      </c>
      <c r="G44" s="3">
        <f>F44</f>
        <v>6</v>
      </c>
      <c r="H44" s="4">
        <f>G44</f>
        <v>6</v>
      </c>
      <c r="I44" s="1">
        <v>2</v>
      </c>
      <c r="J44" s="1">
        <v>5</v>
      </c>
      <c r="K44" s="1">
        <v>6</v>
      </c>
      <c r="L44" s="1">
        <f t="shared" si="3"/>
        <v>60</v>
      </c>
    </row>
    <row r="45" spans="1:12" x14ac:dyDescent="0.2">
      <c r="A45" s="331"/>
      <c r="B45" s="265" t="s">
        <v>336</v>
      </c>
      <c r="C45" s="265" t="s">
        <v>439</v>
      </c>
      <c r="D45" s="200" t="s">
        <v>377</v>
      </c>
      <c r="E45" s="25">
        <v>27.5</v>
      </c>
      <c r="F45" s="25">
        <v>1</v>
      </c>
      <c r="G45" s="336">
        <f>SUM(F45:F46)</f>
        <v>2</v>
      </c>
      <c r="H45" s="334">
        <v>4</v>
      </c>
      <c r="I45" s="1">
        <v>8</v>
      </c>
      <c r="J45" s="1">
        <v>5</v>
      </c>
      <c r="K45" s="1">
        <v>1</v>
      </c>
      <c r="L45" s="1">
        <f t="shared" si="3"/>
        <v>40</v>
      </c>
    </row>
    <row r="46" spans="1:12" x14ac:dyDescent="0.2">
      <c r="A46" s="331"/>
      <c r="B46" s="265" t="s">
        <v>336</v>
      </c>
      <c r="C46" s="265" t="s">
        <v>439</v>
      </c>
      <c r="D46" s="200" t="s">
        <v>382</v>
      </c>
      <c r="E46" s="25">
        <v>37</v>
      </c>
      <c r="F46" s="25">
        <v>1</v>
      </c>
      <c r="G46" s="336"/>
      <c r="H46" s="334"/>
      <c r="I46" s="1">
        <v>8</v>
      </c>
      <c r="J46" s="1">
        <v>5</v>
      </c>
      <c r="K46" s="1">
        <v>1</v>
      </c>
      <c r="L46" s="1">
        <f t="shared" si="3"/>
        <v>40</v>
      </c>
    </row>
    <row r="47" spans="1:12" x14ac:dyDescent="0.2">
      <c r="A47" s="332" t="s">
        <v>428</v>
      </c>
      <c r="B47" s="265" t="s">
        <v>338</v>
      </c>
      <c r="C47" s="264" t="s">
        <v>440</v>
      </c>
      <c r="D47" s="200" t="s">
        <v>379</v>
      </c>
      <c r="E47" s="25">
        <v>9</v>
      </c>
      <c r="F47" s="25">
        <v>4</v>
      </c>
      <c r="G47" s="336">
        <f>SUM(F47:F49)</f>
        <v>12</v>
      </c>
      <c r="H47" s="334">
        <v>15</v>
      </c>
      <c r="I47" s="1">
        <v>6</v>
      </c>
      <c r="J47" s="1">
        <v>2</v>
      </c>
      <c r="K47" s="1">
        <v>4</v>
      </c>
      <c r="L47" s="1">
        <f t="shared" si="3"/>
        <v>48</v>
      </c>
    </row>
    <row r="48" spans="1:12" x14ac:dyDescent="0.2">
      <c r="A48" s="332"/>
      <c r="B48" s="265" t="s">
        <v>338</v>
      </c>
      <c r="C48" s="264" t="s">
        <v>440</v>
      </c>
      <c r="D48" s="200" t="s">
        <v>380</v>
      </c>
      <c r="E48" s="25">
        <v>12</v>
      </c>
      <c r="F48" s="25">
        <v>4</v>
      </c>
      <c r="G48" s="336"/>
      <c r="H48" s="334"/>
      <c r="I48" s="1">
        <v>6</v>
      </c>
      <c r="J48" s="1">
        <v>2</v>
      </c>
      <c r="K48" s="1">
        <v>4</v>
      </c>
      <c r="L48" s="1">
        <f t="shared" si="3"/>
        <v>48</v>
      </c>
    </row>
    <row r="49" spans="1:12" x14ac:dyDescent="0.2">
      <c r="A49" s="332"/>
      <c r="B49" s="265" t="s">
        <v>338</v>
      </c>
      <c r="C49" s="264" t="s">
        <v>440</v>
      </c>
      <c r="D49" s="200" t="s">
        <v>381</v>
      </c>
      <c r="E49" s="25">
        <v>8</v>
      </c>
      <c r="F49" s="25">
        <v>4</v>
      </c>
      <c r="G49" s="336"/>
      <c r="H49" s="334"/>
      <c r="I49" s="1">
        <v>6</v>
      </c>
      <c r="J49" s="1">
        <v>2</v>
      </c>
      <c r="K49" s="1">
        <v>4</v>
      </c>
      <c r="L49" s="1">
        <f t="shared" si="3"/>
        <v>48</v>
      </c>
    </row>
    <row r="50" spans="1:12" x14ac:dyDescent="0.2">
      <c r="A50" s="332"/>
      <c r="B50" s="265" t="s">
        <v>339</v>
      </c>
      <c r="C50" s="269" t="s">
        <v>438</v>
      </c>
      <c r="D50" s="200" t="s">
        <v>379</v>
      </c>
      <c r="E50" s="25">
        <v>9</v>
      </c>
      <c r="F50" s="25">
        <v>3</v>
      </c>
      <c r="G50" s="336">
        <f>SUM(F50:F52)</f>
        <v>13</v>
      </c>
      <c r="H50" s="334">
        <v>17</v>
      </c>
      <c r="I50" s="1">
        <v>6</v>
      </c>
      <c r="J50" s="1">
        <v>2</v>
      </c>
      <c r="K50" s="1">
        <v>5</v>
      </c>
      <c r="L50" s="1">
        <f t="shared" si="3"/>
        <v>60</v>
      </c>
    </row>
    <row r="51" spans="1:12" x14ac:dyDescent="0.2">
      <c r="A51" s="332"/>
      <c r="B51" s="265" t="s">
        <v>339</v>
      </c>
      <c r="C51" s="269" t="s">
        <v>438</v>
      </c>
      <c r="D51" s="200" t="s">
        <v>380</v>
      </c>
      <c r="E51" s="25">
        <v>12</v>
      </c>
      <c r="F51" s="25">
        <v>5</v>
      </c>
      <c r="G51" s="336"/>
      <c r="H51" s="334"/>
      <c r="I51" s="1">
        <v>6</v>
      </c>
      <c r="J51" s="1">
        <v>2</v>
      </c>
      <c r="K51" s="1">
        <v>5</v>
      </c>
      <c r="L51" s="1">
        <f t="shared" si="3"/>
        <v>60</v>
      </c>
    </row>
    <row r="52" spans="1:12" x14ac:dyDescent="0.2">
      <c r="A52" s="332"/>
      <c r="B52" s="265" t="s">
        <v>339</v>
      </c>
      <c r="C52" s="269" t="s">
        <v>438</v>
      </c>
      <c r="D52" s="200" t="s">
        <v>381</v>
      </c>
      <c r="E52" s="25">
        <v>8</v>
      </c>
      <c r="F52" s="25">
        <v>5</v>
      </c>
      <c r="G52" s="336"/>
      <c r="H52" s="334"/>
      <c r="I52" s="1">
        <v>6</v>
      </c>
      <c r="J52" s="1">
        <v>2</v>
      </c>
      <c r="K52" s="1">
        <v>5</v>
      </c>
      <c r="L52" s="1">
        <f t="shared" si="3"/>
        <v>60</v>
      </c>
    </row>
    <row r="53" spans="1:12" x14ac:dyDescent="0.2">
      <c r="A53" s="332"/>
      <c r="B53" s="265" t="s">
        <v>267</v>
      </c>
      <c r="C53" s="269" t="s">
        <v>438</v>
      </c>
      <c r="D53" s="200" t="s">
        <v>385</v>
      </c>
      <c r="E53" s="25">
        <v>8</v>
      </c>
      <c r="F53" s="25">
        <v>6</v>
      </c>
      <c r="G53" s="336">
        <f>SUM(F53:F54)</f>
        <v>8</v>
      </c>
      <c r="H53" s="334">
        <f>SUM(G53:G54)</f>
        <v>8</v>
      </c>
      <c r="I53" s="1">
        <v>6</v>
      </c>
      <c r="J53" s="1">
        <v>2</v>
      </c>
      <c r="K53" s="1">
        <v>6</v>
      </c>
      <c r="L53" s="1">
        <f t="shared" si="3"/>
        <v>72</v>
      </c>
    </row>
    <row r="54" spans="1:12" x14ac:dyDescent="0.2">
      <c r="A54" s="332"/>
      <c r="B54" s="266" t="s">
        <v>386</v>
      </c>
      <c r="C54" s="269" t="s">
        <v>438</v>
      </c>
      <c r="D54" s="202" t="s">
        <v>385</v>
      </c>
      <c r="E54" s="203">
        <v>11</v>
      </c>
      <c r="F54" s="203">
        <v>2</v>
      </c>
      <c r="G54" s="336"/>
      <c r="H54" s="334"/>
      <c r="I54" s="1">
        <v>2</v>
      </c>
      <c r="J54" s="1">
        <v>2</v>
      </c>
      <c r="K54" s="1">
        <v>2</v>
      </c>
      <c r="L54" s="1">
        <f t="shared" si="3"/>
        <v>8</v>
      </c>
    </row>
    <row r="55" spans="1:12" x14ac:dyDescent="0.2">
      <c r="A55" s="332"/>
      <c r="B55" s="265" t="s">
        <v>336</v>
      </c>
      <c r="C55" s="265" t="s">
        <v>439</v>
      </c>
      <c r="D55" s="200" t="s">
        <v>379</v>
      </c>
      <c r="E55" s="25">
        <v>13</v>
      </c>
      <c r="F55" s="25">
        <v>1</v>
      </c>
      <c r="G55" s="336">
        <f>SUM(F55:F56)</f>
        <v>2</v>
      </c>
      <c r="H55" s="334">
        <v>4</v>
      </c>
      <c r="I55" s="1">
        <v>8</v>
      </c>
      <c r="J55" s="1">
        <v>2</v>
      </c>
      <c r="K55" s="1">
        <v>1</v>
      </c>
      <c r="L55" s="1">
        <f t="shared" si="3"/>
        <v>16</v>
      </c>
    </row>
    <row r="56" spans="1:12" ht="17" thickBot="1" x14ac:dyDescent="0.25">
      <c r="A56" s="333"/>
      <c r="B56" s="267" t="s">
        <v>336</v>
      </c>
      <c r="C56" s="265" t="s">
        <v>439</v>
      </c>
      <c r="D56" s="263" t="s">
        <v>384</v>
      </c>
      <c r="E56" s="28">
        <v>13</v>
      </c>
      <c r="F56" s="28">
        <v>1</v>
      </c>
      <c r="G56" s="337"/>
      <c r="H56" s="335"/>
      <c r="I56" s="1">
        <v>8</v>
      </c>
      <c r="J56" s="1">
        <v>2</v>
      </c>
      <c r="K56" s="1">
        <v>1</v>
      </c>
      <c r="L56" s="1">
        <f t="shared" si="3"/>
        <v>16</v>
      </c>
    </row>
    <row r="57" spans="1:12" x14ac:dyDescent="0.2">
      <c r="L57" s="2">
        <f>SUM(L37:L56)</f>
        <v>1446</v>
      </c>
    </row>
    <row r="58" spans="1:12" x14ac:dyDescent="0.2">
      <c r="B58" t="s">
        <v>350</v>
      </c>
      <c r="C58" t="s">
        <v>265</v>
      </c>
      <c r="K58" t="s">
        <v>350</v>
      </c>
      <c r="L58" s="2">
        <f>L57/40</f>
        <v>36.15</v>
      </c>
    </row>
    <row r="59" spans="1:12" x14ac:dyDescent="0.2">
      <c r="A59" t="s">
        <v>338</v>
      </c>
      <c r="C59">
        <v>20</v>
      </c>
      <c r="K59" t="s">
        <v>265</v>
      </c>
      <c r="L59" s="2">
        <f>L57/20</f>
        <v>72.3</v>
      </c>
    </row>
    <row r="60" spans="1:12" ht="50" customHeight="1" x14ac:dyDescent="0.2">
      <c r="A60" s="23" t="s">
        <v>448</v>
      </c>
      <c r="C60">
        <v>25</v>
      </c>
    </row>
    <row r="61" spans="1:12" x14ac:dyDescent="0.2">
      <c r="A61" t="s">
        <v>267</v>
      </c>
      <c r="C61">
        <v>10</v>
      </c>
    </row>
    <row r="62" spans="1:12" x14ac:dyDescent="0.2">
      <c r="A62" t="s">
        <v>442</v>
      </c>
      <c r="B62">
        <v>0</v>
      </c>
      <c r="C62">
        <v>0</v>
      </c>
    </row>
    <row r="63" spans="1:12" x14ac:dyDescent="0.2">
      <c r="A63" t="s">
        <v>443</v>
      </c>
      <c r="B63">
        <v>0</v>
      </c>
      <c r="C63">
        <v>0</v>
      </c>
    </row>
    <row r="64" spans="1:12" x14ac:dyDescent="0.2">
      <c r="A64" t="s">
        <v>444</v>
      </c>
      <c r="B64">
        <v>0</v>
      </c>
      <c r="C64">
        <v>0</v>
      </c>
    </row>
    <row r="65" spans="1:3" x14ac:dyDescent="0.2">
      <c r="A65" t="s">
        <v>336</v>
      </c>
      <c r="C65">
        <v>4</v>
      </c>
    </row>
    <row r="66" spans="1:3" x14ac:dyDescent="0.2">
      <c r="A66" t="s">
        <v>441</v>
      </c>
      <c r="B66">
        <v>0</v>
      </c>
      <c r="C66">
        <v>1</v>
      </c>
    </row>
    <row r="67" spans="1:3" x14ac:dyDescent="0.2">
      <c r="A67" t="s">
        <v>349</v>
      </c>
      <c r="B67">
        <v>0</v>
      </c>
      <c r="C67">
        <v>1</v>
      </c>
    </row>
    <row r="68" spans="1:3" x14ac:dyDescent="0.2">
      <c r="C68">
        <v>61</v>
      </c>
    </row>
  </sheetData>
  <mergeCells count="20">
    <mergeCell ref="E27:E28"/>
    <mergeCell ref="F27:F28"/>
    <mergeCell ref="G27:G28"/>
    <mergeCell ref="H27:H28"/>
    <mergeCell ref="G37:G39"/>
    <mergeCell ref="H37:H39"/>
    <mergeCell ref="A37:A46"/>
    <mergeCell ref="A47:A56"/>
    <mergeCell ref="H40:H43"/>
    <mergeCell ref="H45:H46"/>
    <mergeCell ref="H47:H49"/>
    <mergeCell ref="H50:H52"/>
    <mergeCell ref="H55:H56"/>
    <mergeCell ref="H53:H54"/>
    <mergeCell ref="G40:G43"/>
    <mergeCell ref="G45:G46"/>
    <mergeCell ref="G47:G49"/>
    <mergeCell ref="G50:G52"/>
    <mergeCell ref="G55:G56"/>
    <mergeCell ref="G53:G54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849E-3D5C-C840-A96B-D3C506CD78ED}">
  <dimension ref="A2:L83"/>
  <sheetViews>
    <sheetView workbookViewId="0">
      <selection activeCell="E21" sqref="E21"/>
    </sheetView>
  </sheetViews>
  <sheetFormatPr baseColWidth="10" defaultRowHeight="16" x14ac:dyDescent="0.2"/>
  <cols>
    <col min="1" max="1" width="19.1640625" style="1" customWidth="1"/>
    <col min="2" max="4" width="10.83203125" style="1"/>
    <col min="5" max="5" width="11.1640625" style="1" customWidth="1"/>
    <col min="6" max="6" width="15.33203125" style="1" customWidth="1"/>
    <col min="7" max="7" width="14.1640625" style="1" bestFit="1" customWidth="1"/>
    <col min="8" max="16384" width="10.83203125" style="1"/>
  </cols>
  <sheetData>
    <row r="2" spans="1:10" x14ac:dyDescent="0.2">
      <c r="A2" s="206" t="s">
        <v>399</v>
      </c>
    </row>
    <row r="3" spans="1:10" x14ac:dyDescent="0.2">
      <c r="A3" s="152" t="s">
        <v>400</v>
      </c>
    </row>
    <row r="4" spans="1:10" ht="17" thickBot="1" x14ac:dyDescent="0.25">
      <c r="A4" s="208" t="s">
        <v>401</v>
      </c>
    </row>
    <row r="5" spans="1:10" ht="17" thickBot="1" x14ac:dyDescent="0.25">
      <c r="A5" s="344" t="s">
        <v>402</v>
      </c>
      <c r="B5" s="345"/>
      <c r="C5" s="216" t="s">
        <v>300</v>
      </c>
      <c r="D5" s="216" t="s">
        <v>301</v>
      </c>
      <c r="E5" s="7" t="s">
        <v>302</v>
      </c>
      <c r="F5" s="344" t="s">
        <v>403</v>
      </c>
      <c r="G5" s="345"/>
      <c r="H5" s="216" t="s">
        <v>300</v>
      </c>
      <c r="I5" s="216" t="s">
        <v>301</v>
      </c>
      <c r="J5" s="7" t="s">
        <v>302</v>
      </c>
    </row>
    <row r="6" spans="1:10" x14ac:dyDescent="0.2">
      <c r="A6" s="205" t="s">
        <v>338</v>
      </c>
      <c r="B6" s="258" t="s">
        <v>258</v>
      </c>
      <c r="C6" s="206">
        <v>4.5</v>
      </c>
      <c r="D6" s="206" t="s">
        <v>40</v>
      </c>
      <c r="E6" s="207">
        <v>4</v>
      </c>
      <c r="F6" s="205" t="s">
        <v>338</v>
      </c>
      <c r="G6" s="206" t="s">
        <v>258</v>
      </c>
      <c r="H6" s="206">
        <v>4.5</v>
      </c>
      <c r="I6" s="206" t="s">
        <v>40</v>
      </c>
      <c r="J6" s="207">
        <v>4</v>
      </c>
    </row>
    <row r="7" spans="1:10" x14ac:dyDescent="0.2">
      <c r="A7" s="205" t="s">
        <v>339</v>
      </c>
      <c r="B7" s="258" t="s">
        <v>258</v>
      </c>
      <c r="C7" s="206">
        <v>4.5</v>
      </c>
      <c r="D7" s="206" t="s">
        <v>40</v>
      </c>
      <c r="E7" s="207">
        <v>3</v>
      </c>
      <c r="F7" s="205" t="s">
        <v>339</v>
      </c>
      <c r="G7" s="206" t="s">
        <v>258</v>
      </c>
      <c r="H7" s="206">
        <v>4.5</v>
      </c>
      <c r="I7" s="206" t="s">
        <v>40</v>
      </c>
      <c r="J7" s="207">
        <v>3</v>
      </c>
    </row>
    <row r="8" spans="1:10" x14ac:dyDescent="0.2">
      <c r="A8" s="205" t="s">
        <v>339</v>
      </c>
      <c r="B8" s="258" t="s">
        <v>340</v>
      </c>
      <c r="C8" s="206">
        <v>6</v>
      </c>
      <c r="D8" s="206" t="s">
        <v>306</v>
      </c>
      <c r="E8" s="207">
        <v>2</v>
      </c>
      <c r="F8" s="205" t="s">
        <v>339</v>
      </c>
      <c r="G8" s="206" t="s">
        <v>340</v>
      </c>
      <c r="H8" s="206">
        <v>6</v>
      </c>
      <c r="I8" s="206" t="s">
        <v>306</v>
      </c>
      <c r="J8" s="207">
        <v>2</v>
      </c>
    </row>
    <row r="9" spans="1:10" x14ac:dyDescent="0.2">
      <c r="A9" s="150" t="s">
        <v>338</v>
      </c>
      <c r="B9" s="259" t="s">
        <v>259</v>
      </c>
      <c r="C9" s="152">
        <v>4.5</v>
      </c>
      <c r="D9" s="152" t="s">
        <v>40</v>
      </c>
      <c r="E9" s="153">
        <v>3</v>
      </c>
      <c r="F9" s="150" t="s">
        <v>338</v>
      </c>
      <c r="G9" s="152" t="s">
        <v>259</v>
      </c>
      <c r="H9" s="152">
        <v>4.5</v>
      </c>
      <c r="I9" s="152" t="s">
        <v>40</v>
      </c>
      <c r="J9" s="153">
        <v>3</v>
      </c>
    </row>
    <row r="10" spans="1:10" x14ac:dyDescent="0.2">
      <c r="A10" s="150" t="s">
        <v>339</v>
      </c>
      <c r="B10" s="259" t="s">
        <v>259</v>
      </c>
      <c r="C10" s="152">
        <v>4.5</v>
      </c>
      <c r="D10" s="152" t="s">
        <v>40</v>
      </c>
      <c r="E10" s="153">
        <v>5</v>
      </c>
      <c r="F10" s="150" t="s">
        <v>339</v>
      </c>
      <c r="G10" s="152" t="s">
        <v>259</v>
      </c>
      <c r="H10" s="152">
        <v>4.5</v>
      </c>
      <c r="I10" s="152" t="s">
        <v>40</v>
      </c>
      <c r="J10" s="153">
        <v>5</v>
      </c>
    </row>
    <row r="11" spans="1:10" x14ac:dyDescent="0.2">
      <c r="A11" s="209" t="s">
        <v>338</v>
      </c>
      <c r="B11" s="260" t="s">
        <v>260</v>
      </c>
      <c r="C11" s="208">
        <v>4.5</v>
      </c>
      <c r="D11" s="208" t="s">
        <v>40</v>
      </c>
      <c r="E11" s="210">
        <v>3</v>
      </c>
      <c r="F11" s="209" t="s">
        <v>338</v>
      </c>
      <c r="G11" s="208" t="s">
        <v>260</v>
      </c>
      <c r="H11" s="208">
        <v>4.5</v>
      </c>
      <c r="I11" s="208" t="s">
        <v>40</v>
      </c>
      <c r="J11" s="210">
        <v>3</v>
      </c>
    </row>
    <row r="12" spans="1:10" x14ac:dyDescent="0.2">
      <c r="A12" s="209" t="s">
        <v>339</v>
      </c>
      <c r="B12" s="260" t="s">
        <v>260</v>
      </c>
      <c r="C12" s="208">
        <v>4.5</v>
      </c>
      <c r="D12" s="208" t="s">
        <v>40</v>
      </c>
      <c r="E12" s="210">
        <v>5</v>
      </c>
      <c r="F12" s="209" t="s">
        <v>339</v>
      </c>
      <c r="G12" s="208" t="s">
        <v>260</v>
      </c>
      <c r="H12" s="208">
        <v>4.5</v>
      </c>
      <c r="I12" s="208" t="s">
        <v>40</v>
      </c>
      <c r="J12" s="210">
        <v>5</v>
      </c>
    </row>
    <row r="13" spans="1:10" x14ac:dyDescent="0.2">
      <c r="A13" s="205" t="s">
        <v>303</v>
      </c>
      <c r="B13" s="258" t="s">
        <v>304</v>
      </c>
      <c r="C13" s="206">
        <v>5.5</v>
      </c>
      <c r="D13" s="206" t="s">
        <v>306</v>
      </c>
      <c r="E13" s="207">
        <v>1</v>
      </c>
      <c r="F13" s="205" t="s">
        <v>303</v>
      </c>
      <c r="G13" s="206" t="s">
        <v>304</v>
      </c>
      <c r="H13" s="206">
        <v>5.5</v>
      </c>
      <c r="I13" s="206" t="s">
        <v>306</v>
      </c>
      <c r="J13" s="207">
        <v>1</v>
      </c>
    </row>
    <row r="14" spans="1:10" x14ac:dyDescent="0.2">
      <c r="A14" s="209" t="s">
        <v>303</v>
      </c>
      <c r="B14" s="260" t="s">
        <v>305</v>
      </c>
      <c r="C14" s="208">
        <v>5.5</v>
      </c>
      <c r="D14" s="208" t="s">
        <v>306</v>
      </c>
      <c r="E14" s="210">
        <v>1</v>
      </c>
      <c r="F14" s="209" t="s">
        <v>303</v>
      </c>
      <c r="G14" s="211" t="s">
        <v>305</v>
      </c>
      <c r="H14" s="208">
        <v>5.5</v>
      </c>
      <c r="I14" s="208" t="s">
        <v>306</v>
      </c>
      <c r="J14" s="210">
        <v>1</v>
      </c>
    </row>
    <row r="15" spans="1:10" ht="17" thickBot="1" x14ac:dyDescent="0.25">
      <c r="A15" s="212" t="s">
        <v>330</v>
      </c>
      <c r="B15" s="261" t="s">
        <v>264</v>
      </c>
      <c r="C15" s="214">
        <v>4</v>
      </c>
      <c r="D15" s="214" t="s">
        <v>40</v>
      </c>
      <c r="E15" s="215">
        <v>6</v>
      </c>
      <c r="F15" s="212" t="s">
        <v>330</v>
      </c>
      <c r="G15" s="213" t="s">
        <v>449</v>
      </c>
      <c r="H15" s="214">
        <v>4</v>
      </c>
      <c r="I15" s="214" t="s">
        <v>40</v>
      </c>
      <c r="J15" s="215">
        <v>6</v>
      </c>
    </row>
    <row r="16" spans="1:10" ht="17" thickBot="1" x14ac:dyDescent="0.25">
      <c r="A16" s="341" t="s">
        <v>413</v>
      </c>
      <c r="B16" s="343"/>
      <c r="C16" s="216" t="s">
        <v>300</v>
      </c>
      <c r="D16" s="216" t="s">
        <v>301</v>
      </c>
      <c r="E16" s="7" t="s">
        <v>302</v>
      </c>
      <c r="F16" s="341" t="s">
        <v>416</v>
      </c>
      <c r="G16" s="343"/>
      <c r="H16" s="216" t="s">
        <v>300</v>
      </c>
      <c r="I16" s="216" t="s">
        <v>301</v>
      </c>
      <c r="J16" s="7" t="s">
        <v>302</v>
      </c>
    </row>
    <row r="17" spans="1:10" x14ac:dyDescent="0.2">
      <c r="A17" s="255" t="s">
        <v>338</v>
      </c>
      <c r="B17" s="256" t="s">
        <v>258</v>
      </c>
      <c r="C17" s="256">
        <v>4.5</v>
      </c>
      <c r="D17" s="256" t="s">
        <v>40</v>
      </c>
      <c r="E17" s="257">
        <v>4</v>
      </c>
      <c r="F17" s="205" t="s">
        <v>338</v>
      </c>
      <c r="G17" s="206" t="s">
        <v>250</v>
      </c>
      <c r="H17" s="206">
        <v>4.5</v>
      </c>
      <c r="I17" s="206" t="s">
        <v>40</v>
      </c>
      <c r="J17" s="207">
        <v>4</v>
      </c>
    </row>
    <row r="18" spans="1:10" x14ac:dyDescent="0.2">
      <c r="A18" s="205" t="s">
        <v>339</v>
      </c>
      <c r="B18" s="206" t="s">
        <v>258</v>
      </c>
      <c r="C18" s="206">
        <v>4.5</v>
      </c>
      <c r="D18" s="206" t="s">
        <v>40</v>
      </c>
      <c r="E18" s="207">
        <v>3</v>
      </c>
      <c r="F18" s="205" t="s">
        <v>339</v>
      </c>
      <c r="G18" s="206" t="s">
        <v>250</v>
      </c>
      <c r="H18" s="206">
        <v>4.5</v>
      </c>
      <c r="I18" s="206" t="s">
        <v>40</v>
      </c>
      <c r="J18" s="207">
        <v>3</v>
      </c>
    </row>
    <row r="19" spans="1:10" x14ac:dyDescent="0.2">
      <c r="A19" s="205" t="s">
        <v>339</v>
      </c>
      <c r="B19" s="206" t="s">
        <v>340</v>
      </c>
      <c r="C19" s="206">
        <v>6</v>
      </c>
      <c r="D19" s="206" t="s">
        <v>306</v>
      </c>
      <c r="E19" s="207">
        <v>2</v>
      </c>
      <c r="F19" s="205" t="s">
        <v>339</v>
      </c>
      <c r="G19" s="206" t="s">
        <v>412</v>
      </c>
      <c r="H19" s="206">
        <v>6</v>
      </c>
      <c r="I19" s="206" t="s">
        <v>306</v>
      </c>
      <c r="J19" s="207">
        <v>2</v>
      </c>
    </row>
    <row r="20" spans="1:10" x14ac:dyDescent="0.2">
      <c r="A20" s="150" t="s">
        <v>338</v>
      </c>
      <c r="B20" s="152" t="s">
        <v>307</v>
      </c>
      <c r="C20" s="152">
        <v>6</v>
      </c>
      <c r="D20" s="152" t="s">
        <v>306</v>
      </c>
      <c r="E20" s="153">
        <v>4</v>
      </c>
      <c r="F20" s="150" t="s">
        <v>338</v>
      </c>
      <c r="G20" s="152" t="s">
        <v>261</v>
      </c>
      <c r="H20" s="152">
        <v>6</v>
      </c>
      <c r="I20" s="152" t="s">
        <v>306</v>
      </c>
      <c r="J20" s="153">
        <v>4</v>
      </c>
    </row>
    <row r="21" spans="1:10" x14ac:dyDescent="0.2">
      <c r="A21" s="150" t="s">
        <v>339</v>
      </c>
      <c r="B21" s="152" t="s">
        <v>307</v>
      </c>
      <c r="C21" s="152">
        <v>6</v>
      </c>
      <c r="D21" s="152" t="s">
        <v>306</v>
      </c>
      <c r="E21" s="153">
        <v>5</v>
      </c>
      <c r="F21" s="150" t="s">
        <v>339</v>
      </c>
      <c r="G21" s="152" t="s">
        <v>261</v>
      </c>
      <c r="H21" s="152">
        <v>6</v>
      </c>
      <c r="I21" s="152" t="s">
        <v>306</v>
      </c>
      <c r="J21" s="153">
        <v>5</v>
      </c>
    </row>
    <row r="22" spans="1:10" x14ac:dyDescent="0.2">
      <c r="A22" s="209" t="s">
        <v>338</v>
      </c>
      <c r="B22" s="208" t="s">
        <v>260</v>
      </c>
      <c r="C22" s="208">
        <v>4.5</v>
      </c>
      <c r="D22" s="208" t="s">
        <v>40</v>
      </c>
      <c r="E22" s="210">
        <v>3</v>
      </c>
      <c r="F22" s="209" t="s">
        <v>338</v>
      </c>
      <c r="G22" s="208" t="s">
        <v>411</v>
      </c>
      <c r="H22" s="208">
        <v>4.5</v>
      </c>
      <c r="I22" s="208" t="s">
        <v>40</v>
      </c>
      <c r="J22" s="210">
        <v>3</v>
      </c>
    </row>
    <row r="23" spans="1:10" x14ac:dyDescent="0.2">
      <c r="A23" s="209" t="s">
        <v>339</v>
      </c>
      <c r="B23" s="208" t="s">
        <v>260</v>
      </c>
      <c r="C23" s="208">
        <v>4.5</v>
      </c>
      <c r="D23" s="208" t="s">
        <v>40</v>
      </c>
      <c r="E23" s="210">
        <v>5</v>
      </c>
      <c r="F23" s="209" t="s">
        <v>339</v>
      </c>
      <c r="G23" s="208" t="s">
        <v>411</v>
      </c>
      <c r="H23" s="208">
        <v>4.5</v>
      </c>
      <c r="I23" s="208" t="s">
        <v>40</v>
      </c>
      <c r="J23" s="210">
        <v>5</v>
      </c>
    </row>
    <row r="24" spans="1:10" x14ac:dyDescent="0.2">
      <c r="A24" s="205" t="s">
        <v>303</v>
      </c>
      <c r="B24" s="206" t="s">
        <v>304</v>
      </c>
      <c r="C24" s="206">
        <v>5.5</v>
      </c>
      <c r="D24" s="206" t="s">
        <v>306</v>
      </c>
      <c r="E24" s="207">
        <v>1</v>
      </c>
      <c r="F24" s="205" t="s">
        <v>303</v>
      </c>
      <c r="G24" s="206" t="s">
        <v>277</v>
      </c>
      <c r="H24" s="206">
        <v>6.5</v>
      </c>
      <c r="I24" s="206" t="s">
        <v>306</v>
      </c>
      <c r="J24" s="207">
        <v>1</v>
      </c>
    </row>
    <row r="25" spans="1:10" x14ac:dyDescent="0.2">
      <c r="A25" s="209" t="s">
        <v>303</v>
      </c>
      <c r="B25" s="211" t="s">
        <v>308</v>
      </c>
      <c r="C25" s="208">
        <v>7</v>
      </c>
      <c r="D25" s="208" t="s">
        <v>306</v>
      </c>
      <c r="E25" s="210">
        <v>1</v>
      </c>
      <c r="F25" s="209" t="s">
        <v>303</v>
      </c>
      <c r="G25" s="211" t="s">
        <v>308</v>
      </c>
      <c r="H25" s="208">
        <v>7</v>
      </c>
      <c r="I25" s="208" t="s">
        <v>306</v>
      </c>
      <c r="J25" s="210">
        <v>1</v>
      </c>
    </row>
    <row r="26" spans="1:10" ht="17" thickBot="1" x14ac:dyDescent="0.25">
      <c r="A26" s="212" t="s">
        <v>330</v>
      </c>
      <c r="B26" s="213" t="s">
        <v>316</v>
      </c>
      <c r="C26" s="214">
        <v>4</v>
      </c>
      <c r="D26" s="214" t="s">
        <v>40</v>
      </c>
      <c r="E26" s="215">
        <v>6</v>
      </c>
      <c r="F26" s="251" t="s">
        <v>330</v>
      </c>
      <c r="G26" s="252" t="s">
        <v>417</v>
      </c>
      <c r="H26" s="253">
        <v>4</v>
      </c>
      <c r="I26" s="253" t="s">
        <v>40</v>
      </c>
      <c r="J26" s="254">
        <v>6</v>
      </c>
    </row>
    <row r="27" spans="1:10" ht="17" thickBot="1" x14ac:dyDescent="0.25">
      <c r="A27" s="341" t="s">
        <v>415</v>
      </c>
      <c r="B27" s="343"/>
      <c r="C27" s="216" t="s">
        <v>300</v>
      </c>
      <c r="D27" s="216" t="s">
        <v>301</v>
      </c>
      <c r="E27" s="7" t="s">
        <v>302</v>
      </c>
    </row>
    <row r="28" spans="1:10" x14ac:dyDescent="0.2">
      <c r="A28" s="205" t="s">
        <v>338</v>
      </c>
      <c r="B28" s="206" t="s">
        <v>250</v>
      </c>
      <c r="C28" s="206">
        <v>4.5</v>
      </c>
      <c r="D28" s="206" t="s">
        <v>40</v>
      </c>
      <c r="E28" s="207">
        <v>4</v>
      </c>
    </row>
    <row r="29" spans="1:10" x14ac:dyDescent="0.2">
      <c r="A29" s="205" t="s">
        <v>339</v>
      </c>
      <c r="B29" s="206" t="s">
        <v>250</v>
      </c>
      <c r="C29" s="206">
        <v>4.5</v>
      </c>
      <c r="D29" s="206" t="s">
        <v>40</v>
      </c>
      <c r="E29" s="207">
        <v>3</v>
      </c>
    </row>
    <row r="30" spans="1:10" x14ac:dyDescent="0.2">
      <c r="A30" s="205" t="s">
        <v>339</v>
      </c>
      <c r="B30" s="206" t="s">
        <v>412</v>
      </c>
      <c r="C30" s="206">
        <v>6</v>
      </c>
      <c r="D30" s="206" t="s">
        <v>306</v>
      </c>
      <c r="E30" s="207">
        <v>2</v>
      </c>
    </row>
    <row r="31" spans="1:10" x14ac:dyDescent="0.2">
      <c r="A31" s="150" t="s">
        <v>338</v>
      </c>
      <c r="B31" s="152" t="s">
        <v>261</v>
      </c>
      <c r="C31" s="152">
        <v>6</v>
      </c>
      <c r="D31" s="152" t="s">
        <v>306</v>
      </c>
      <c r="E31" s="153">
        <v>4</v>
      </c>
    </row>
    <row r="32" spans="1:10" x14ac:dyDescent="0.2">
      <c r="A32" s="150" t="s">
        <v>339</v>
      </c>
      <c r="B32" s="152" t="s">
        <v>261</v>
      </c>
      <c r="C32" s="152">
        <v>6</v>
      </c>
      <c r="D32" s="152" t="s">
        <v>306</v>
      </c>
      <c r="E32" s="153">
        <v>5</v>
      </c>
    </row>
    <row r="33" spans="1:8" x14ac:dyDescent="0.2">
      <c r="A33" s="209" t="s">
        <v>338</v>
      </c>
      <c r="B33" s="208" t="s">
        <v>411</v>
      </c>
      <c r="C33" s="208">
        <v>4.5</v>
      </c>
      <c r="D33" s="208" t="s">
        <v>40</v>
      </c>
      <c r="E33" s="210">
        <v>3</v>
      </c>
    </row>
    <row r="34" spans="1:8" x14ac:dyDescent="0.2">
      <c r="A34" s="209" t="s">
        <v>339</v>
      </c>
      <c r="B34" s="208" t="s">
        <v>411</v>
      </c>
      <c r="C34" s="208">
        <v>4.5</v>
      </c>
      <c r="D34" s="208" t="s">
        <v>40</v>
      </c>
      <c r="E34" s="210">
        <v>5</v>
      </c>
    </row>
    <row r="35" spans="1:8" x14ac:dyDescent="0.2">
      <c r="A35" s="205" t="s">
        <v>303</v>
      </c>
      <c r="B35" s="206" t="s">
        <v>277</v>
      </c>
      <c r="C35" s="206">
        <v>6.5</v>
      </c>
      <c r="D35" s="206" t="s">
        <v>306</v>
      </c>
      <c r="E35" s="207">
        <v>1</v>
      </c>
    </row>
    <row r="36" spans="1:8" x14ac:dyDescent="0.2">
      <c r="A36" s="209" t="s">
        <v>303</v>
      </c>
      <c r="B36" s="211" t="s">
        <v>308</v>
      </c>
      <c r="C36" s="208">
        <v>7</v>
      </c>
      <c r="D36" s="208" t="s">
        <v>306</v>
      </c>
      <c r="E36" s="210">
        <v>1</v>
      </c>
    </row>
    <row r="37" spans="1:8" ht="17" thickBot="1" x14ac:dyDescent="0.25">
      <c r="A37" s="251" t="s">
        <v>330</v>
      </c>
      <c r="B37" s="252" t="s">
        <v>417</v>
      </c>
      <c r="C37" s="253">
        <v>4</v>
      </c>
      <c r="D37" s="253" t="s">
        <v>40</v>
      </c>
      <c r="E37" s="254">
        <v>6</v>
      </c>
    </row>
    <row r="38" spans="1:8" ht="17" thickBot="1" x14ac:dyDescent="0.25">
      <c r="A38" s="341" t="s">
        <v>418</v>
      </c>
      <c r="B38" s="343"/>
      <c r="C38" s="216" t="s">
        <v>300</v>
      </c>
      <c r="D38" s="216" t="s">
        <v>301</v>
      </c>
      <c r="E38" s="7" t="s">
        <v>302</v>
      </c>
    </row>
    <row r="39" spans="1:8" x14ac:dyDescent="0.2">
      <c r="A39" s="255" t="s">
        <v>338</v>
      </c>
      <c r="B39" s="256" t="s">
        <v>250</v>
      </c>
      <c r="C39" s="256">
        <v>4.5</v>
      </c>
      <c r="D39" s="256" t="s">
        <v>40</v>
      </c>
      <c r="E39" s="257">
        <v>4</v>
      </c>
    </row>
    <row r="40" spans="1:8" x14ac:dyDescent="0.2">
      <c r="A40" s="205" t="s">
        <v>339</v>
      </c>
      <c r="B40" s="206" t="s">
        <v>250</v>
      </c>
      <c r="C40" s="206">
        <v>4.5</v>
      </c>
      <c r="D40" s="206" t="s">
        <v>40</v>
      </c>
      <c r="E40" s="207">
        <v>3</v>
      </c>
    </row>
    <row r="41" spans="1:8" x14ac:dyDescent="0.2">
      <c r="A41" s="205" t="s">
        <v>339</v>
      </c>
      <c r="B41" s="206" t="s">
        <v>412</v>
      </c>
      <c r="C41" s="206">
        <v>6</v>
      </c>
      <c r="D41" s="206" t="s">
        <v>306</v>
      </c>
      <c r="E41" s="207">
        <v>2</v>
      </c>
    </row>
    <row r="42" spans="1:8" x14ac:dyDescent="0.2">
      <c r="A42" s="150" t="s">
        <v>338</v>
      </c>
      <c r="B42" s="152" t="s">
        <v>309</v>
      </c>
      <c r="C42" s="152">
        <v>7</v>
      </c>
      <c r="D42" s="152" t="s">
        <v>306</v>
      </c>
      <c r="E42" s="153">
        <v>4</v>
      </c>
    </row>
    <row r="43" spans="1:8" x14ac:dyDescent="0.2">
      <c r="A43" s="150" t="s">
        <v>339</v>
      </c>
      <c r="B43" s="152" t="s">
        <v>309</v>
      </c>
      <c r="C43" s="152">
        <v>7</v>
      </c>
      <c r="D43" s="152" t="s">
        <v>306</v>
      </c>
      <c r="E43" s="153">
        <v>5</v>
      </c>
    </row>
    <row r="44" spans="1:8" x14ac:dyDescent="0.2">
      <c r="A44" s="209" t="s">
        <v>338</v>
      </c>
      <c r="B44" s="208" t="s">
        <v>310</v>
      </c>
      <c r="C44" s="208">
        <v>4.5</v>
      </c>
      <c r="D44" s="208" t="s">
        <v>40</v>
      </c>
      <c r="E44" s="210">
        <v>3</v>
      </c>
    </row>
    <row r="45" spans="1:8" x14ac:dyDescent="0.2">
      <c r="A45" s="209" t="s">
        <v>339</v>
      </c>
      <c r="B45" s="208" t="s">
        <v>310</v>
      </c>
      <c r="C45" s="208">
        <v>4.5</v>
      </c>
      <c r="D45" s="208" t="s">
        <v>40</v>
      </c>
      <c r="E45" s="210">
        <v>5</v>
      </c>
    </row>
    <row r="46" spans="1:8" x14ac:dyDescent="0.2">
      <c r="A46" s="205" t="s">
        <v>303</v>
      </c>
      <c r="B46" s="206" t="s">
        <v>312</v>
      </c>
      <c r="C46" s="206">
        <v>7.5</v>
      </c>
      <c r="D46" s="206" t="s">
        <v>306</v>
      </c>
      <c r="E46" s="207">
        <v>1</v>
      </c>
    </row>
    <row r="47" spans="1:8" x14ac:dyDescent="0.2">
      <c r="A47" s="209" t="s">
        <v>303</v>
      </c>
      <c r="B47" s="211" t="s">
        <v>414</v>
      </c>
      <c r="C47" s="208">
        <v>7</v>
      </c>
      <c r="D47" s="208" t="s">
        <v>306</v>
      </c>
      <c r="E47" s="210">
        <v>1</v>
      </c>
    </row>
    <row r="48" spans="1:8" ht="17" thickBot="1" x14ac:dyDescent="0.25">
      <c r="A48" s="251" t="s">
        <v>330</v>
      </c>
      <c r="B48" s="252" t="s">
        <v>417</v>
      </c>
      <c r="C48" s="253">
        <v>4</v>
      </c>
      <c r="D48" s="253" t="s">
        <v>40</v>
      </c>
      <c r="E48" s="254">
        <v>6</v>
      </c>
      <c r="G48"/>
      <c r="H48"/>
    </row>
    <row r="49" spans="1:12" ht="17" thickBot="1" x14ac:dyDescent="0.25">
      <c r="A49" s="101" t="s">
        <v>421</v>
      </c>
      <c r="B49" s="6"/>
      <c r="C49" s="216" t="s">
        <v>300</v>
      </c>
      <c r="D49" s="216" t="s">
        <v>301</v>
      </c>
      <c r="E49" s="7" t="s">
        <v>302</v>
      </c>
      <c r="F49" s="341" t="s">
        <v>419</v>
      </c>
      <c r="G49" s="342"/>
      <c r="H49" s="148" t="s">
        <v>300</v>
      </c>
      <c r="I49" s="148" t="s">
        <v>301</v>
      </c>
      <c r="J49" s="149" t="s">
        <v>302</v>
      </c>
    </row>
    <row r="50" spans="1:12" x14ac:dyDescent="0.2">
      <c r="A50" s="205" t="s">
        <v>338</v>
      </c>
      <c r="B50" s="206" t="s">
        <v>311</v>
      </c>
      <c r="C50" s="206">
        <v>5</v>
      </c>
      <c r="D50" s="206" t="s">
        <v>306</v>
      </c>
      <c r="E50" s="207">
        <v>4</v>
      </c>
      <c r="F50" s="205" t="s">
        <v>338</v>
      </c>
      <c r="G50" s="206" t="s">
        <v>250</v>
      </c>
      <c r="H50" s="206">
        <v>4.5</v>
      </c>
      <c r="I50" s="206" t="s">
        <v>40</v>
      </c>
      <c r="J50" s="207">
        <v>4</v>
      </c>
    </row>
    <row r="51" spans="1:12" x14ac:dyDescent="0.2">
      <c r="A51" s="205" t="s">
        <v>339</v>
      </c>
      <c r="B51" s="206" t="s">
        <v>311</v>
      </c>
      <c r="C51" s="206">
        <v>5</v>
      </c>
      <c r="D51" s="206" t="s">
        <v>306</v>
      </c>
      <c r="E51" s="207">
        <v>3</v>
      </c>
      <c r="F51" s="205" t="s">
        <v>339</v>
      </c>
      <c r="G51" s="206" t="s">
        <v>250</v>
      </c>
      <c r="H51" s="206">
        <v>4.5</v>
      </c>
      <c r="I51" s="206" t="s">
        <v>40</v>
      </c>
      <c r="J51" s="207">
        <v>3</v>
      </c>
    </row>
    <row r="52" spans="1:12" x14ac:dyDescent="0.2">
      <c r="A52" s="205" t="s">
        <v>339</v>
      </c>
      <c r="B52" s="206" t="s">
        <v>420</v>
      </c>
      <c r="C52" s="206">
        <v>7</v>
      </c>
      <c r="D52" s="206" t="s">
        <v>306</v>
      </c>
      <c r="E52" s="207">
        <v>2</v>
      </c>
      <c r="F52" s="205" t="s">
        <v>339</v>
      </c>
      <c r="G52" s="206" t="s">
        <v>412</v>
      </c>
      <c r="H52" s="206">
        <v>6</v>
      </c>
      <c r="I52" s="206" t="s">
        <v>306</v>
      </c>
      <c r="J52" s="207">
        <v>2</v>
      </c>
    </row>
    <row r="53" spans="1:12" x14ac:dyDescent="0.2">
      <c r="A53" s="150" t="s">
        <v>338</v>
      </c>
      <c r="B53" s="152" t="s">
        <v>309</v>
      </c>
      <c r="C53" s="152">
        <v>7</v>
      </c>
      <c r="D53" s="152" t="s">
        <v>306</v>
      </c>
      <c r="E53" s="153">
        <v>4</v>
      </c>
      <c r="F53" s="150" t="s">
        <v>338</v>
      </c>
      <c r="G53" s="152" t="s">
        <v>309</v>
      </c>
      <c r="H53" s="152">
        <v>7</v>
      </c>
      <c r="I53" s="152" t="s">
        <v>306</v>
      </c>
      <c r="J53" s="153">
        <v>4</v>
      </c>
    </row>
    <row r="54" spans="1:12" x14ac:dyDescent="0.2">
      <c r="A54" s="150" t="s">
        <v>339</v>
      </c>
      <c r="B54" s="152" t="s">
        <v>309</v>
      </c>
      <c r="C54" s="152">
        <v>7</v>
      </c>
      <c r="D54" s="152" t="s">
        <v>306</v>
      </c>
      <c r="E54" s="153">
        <v>5</v>
      </c>
      <c r="F54" s="150" t="s">
        <v>339</v>
      </c>
      <c r="G54" s="152" t="s">
        <v>309</v>
      </c>
      <c r="H54" s="152">
        <v>7</v>
      </c>
      <c r="I54" s="152" t="s">
        <v>306</v>
      </c>
      <c r="J54" s="153">
        <v>5</v>
      </c>
      <c r="L54"/>
    </row>
    <row r="55" spans="1:12" x14ac:dyDescent="0.2">
      <c r="A55" s="209" t="s">
        <v>338</v>
      </c>
      <c r="B55" s="208" t="s">
        <v>310</v>
      </c>
      <c r="C55" s="208">
        <v>4.5</v>
      </c>
      <c r="D55" s="208" t="s">
        <v>40</v>
      </c>
      <c r="E55" s="210">
        <v>3</v>
      </c>
      <c r="F55" s="209" t="s">
        <v>338</v>
      </c>
      <c r="G55" s="208" t="s">
        <v>311</v>
      </c>
      <c r="H55" s="208">
        <v>5</v>
      </c>
      <c r="I55" s="208" t="s">
        <v>306</v>
      </c>
      <c r="J55" s="210">
        <v>3</v>
      </c>
    </row>
    <row r="56" spans="1:12" x14ac:dyDescent="0.2">
      <c r="A56" s="209" t="s">
        <v>339</v>
      </c>
      <c r="B56" s="208" t="s">
        <v>310</v>
      </c>
      <c r="C56" s="208">
        <v>4.5</v>
      </c>
      <c r="D56" s="208" t="s">
        <v>306</v>
      </c>
      <c r="E56" s="210">
        <v>5</v>
      </c>
      <c r="F56" s="209" t="s">
        <v>339</v>
      </c>
      <c r="G56" s="208" t="s">
        <v>311</v>
      </c>
      <c r="H56" s="208">
        <v>5</v>
      </c>
      <c r="I56" s="208" t="s">
        <v>306</v>
      </c>
      <c r="J56" s="210">
        <v>5</v>
      </c>
    </row>
    <row r="57" spans="1:12" x14ac:dyDescent="0.2">
      <c r="A57" s="205" t="s">
        <v>303</v>
      </c>
      <c r="B57" s="206" t="s">
        <v>313</v>
      </c>
      <c r="C57" s="206">
        <v>7.5</v>
      </c>
      <c r="D57" s="206" t="s">
        <v>306</v>
      </c>
      <c r="E57" s="207">
        <v>1</v>
      </c>
      <c r="F57" s="205" t="s">
        <v>303</v>
      </c>
      <c r="G57" s="206" t="s">
        <v>312</v>
      </c>
      <c r="H57" s="206">
        <v>7.5</v>
      </c>
      <c r="I57" s="206" t="s">
        <v>306</v>
      </c>
      <c r="J57" s="207">
        <v>1</v>
      </c>
    </row>
    <row r="58" spans="1:12" x14ac:dyDescent="0.2">
      <c r="A58" s="209" t="s">
        <v>303</v>
      </c>
      <c r="B58" s="211" t="s">
        <v>314</v>
      </c>
      <c r="C58" s="208">
        <v>8</v>
      </c>
      <c r="D58" s="208" t="s">
        <v>306</v>
      </c>
      <c r="E58" s="210">
        <v>1</v>
      </c>
      <c r="F58" s="209" t="s">
        <v>303</v>
      </c>
      <c r="G58" s="211" t="s">
        <v>424</v>
      </c>
      <c r="H58" s="208">
        <v>8</v>
      </c>
      <c r="I58" s="208" t="s">
        <v>306</v>
      </c>
      <c r="J58" s="210">
        <v>1</v>
      </c>
    </row>
    <row r="59" spans="1:12" ht="17" thickBot="1" x14ac:dyDescent="0.25">
      <c r="A59" s="251" t="s">
        <v>330</v>
      </c>
      <c r="B59" s="252" t="s">
        <v>417</v>
      </c>
      <c r="C59" s="253">
        <v>4</v>
      </c>
      <c r="D59" s="253" t="s">
        <v>40</v>
      </c>
      <c r="E59" s="254">
        <v>6</v>
      </c>
      <c r="F59" s="251" t="s">
        <v>330</v>
      </c>
      <c r="G59" s="252" t="s">
        <v>417</v>
      </c>
      <c r="H59" s="253">
        <v>4</v>
      </c>
      <c r="I59" s="253" t="s">
        <v>40</v>
      </c>
      <c r="J59" s="254">
        <v>6</v>
      </c>
    </row>
    <row r="60" spans="1:12" ht="17" thickBot="1" x14ac:dyDescent="0.25">
      <c r="A60" s="101" t="s">
        <v>422</v>
      </c>
      <c r="B60" s="6"/>
      <c r="C60" s="216" t="s">
        <v>300</v>
      </c>
      <c r="D60" s="216" t="s">
        <v>301</v>
      </c>
      <c r="E60" s="7" t="s">
        <v>302</v>
      </c>
      <c r="F60" s="101" t="s">
        <v>425</v>
      </c>
      <c r="G60" s="6"/>
      <c r="H60" s="216" t="s">
        <v>300</v>
      </c>
      <c r="I60" s="216" t="s">
        <v>301</v>
      </c>
      <c r="J60" s="7" t="s">
        <v>302</v>
      </c>
    </row>
    <row r="61" spans="1:12" x14ac:dyDescent="0.2">
      <c r="A61" s="205" t="s">
        <v>338</v>
      </c>
      <c r="B61" s="206" t="s">
        <v>311</v>
      </c>
      <c r="C61" s="206">
        <v>5</v>
      </c>
      <c r="D61" s="206" t="s">
        <v>306</v>
      </c>
      <c r="E61" s="207">
        <v>4</v>
      </c>
      <c r="F61" s="205" t="s">
        <v>338</v>
      </c>
      <c r="G61" s="206" t="s">
        <v>311</v>
      </c>
      <c r="H61" s="206">
        <v>5</v>
      </c>
      <c r="I61" s="206" t="s">
        <v>306</v>
      </c>
      <c r="J61" s="207">
        <v>4</v>
      </c>
    </row>
    <row r="62" spans="1:12" x14ac:dyDescent="0.2">
      <c r="A62" s="205" t="s">
        <v>339</v>
      </c>
      <c r="B62" s="206" t="s">
        <v>311</v>
      </c>
      <c r="C62" s="206">
        <v>5</v>
      </c>
      <c r="D62" s="206" t="s">
        <v>306</v>
      </c>
      <c r="E62" s="207">
        <v>3</v>
      </c>
      <c r="F62" s="205" t="s">
        <v>339</v>
      </c>
      <c r="G62" s="206" t="s">
        <v>311</v>
      </c>
      <c r="H62" s="206">
        <v>5</v>
      </c>
      <c r="I62" s="206" t="s">
        <v>306</v>
      </c>
      <c r="J62" s="207">
        <v>3</v>
      </c>
    </row>
    <row r="63" spans="1:12" x14ac:dyDescent="0.2">
      <c r="A63" s="205" t="s">
        <v>339</v>
      </c>
      <c r="B63" s="206" t="s">
        <v>420</v>
      </c>
      <c r="C63" s="206">
        <v>7</v>
      </c>
      <c r="D63" s="206" t="s">
        <v>306</v>
      </c>
      <c r="E63" s="207">
        <v>2</v>
      </c>
      <c r="F63" s="205" t="s">
        <v>339</v>
      </c>
      <c r="G63" s="206" t="s">
        <v>420</v>
      </c>
      <c r="H63" s="206">
        <v>7</v>
      </c>
      <c r="I63" s="206" t="s">
        <v>306</v>
      </c>
      <c r="J63" s="207">
        <v>2</v>
      </c>
    </row>
    <row r="64" spans="1:12" x14ac:dyDescent="0.2">
      <c r="A64" s="150" t="s">
        <v>338</v>
      </c>
      <c r="B64" s="152" t="s">
        <v>309</v>
      </c>
      <c r="C64" s="152">
        <v>7</v>
      </c>
      <c r="D64" s="152" t="s">
        <v>306</v>
      </c>
      <c r="E64" s="153">
        <v>4</v>
      </c>
      <c r="F64" s="150" t="s">
        <v>338</v>
      </c>
      <c r="G64" s="152" t="s">
        <v>309</v>
      </c>
      <c r="H64" s="152">
        <v>7</v>
      </c>
      <c r="I64" s="152" t="s">
        <v>306</v>
      </c>
      <c r="J64" s="153">
        <v>4</v>
      </c>
    </row>
    <row r="65" spans="1:10" x14ac:dyDescent="0.2">
      <c r="A65" s="150" t="s">
        <v>339</v>
      </c>
      <c r="B65" s="152" t="s">
        <v>309</v>
      </c>
      <c r="C65" s="152">
        <v>7</v>
      </c>
      <c r="D65" s="152" t="s">
        <v>306</v>
      </c>
      <c r="E65" s="153">
        <v>5</v>
      </c>
      <c r="F65" s="150" t="s">
        <v>339</v>
      </c>
      <c r="G65" s="152" t="s">
        <v>309</v>
      </c>
      <c r="H65" s="152">
        <v>7</v>
      </c>
      <c r="I65" s="152" t="s">
        <v>306</v>
      </c>
      <c r="J65" s="153">
        <v>5</v>
      </c>
    </row>
    <row r="66" spans="1:10" ht="17" customHeight="1" x14ac:dyDescent="0.2">
      <c r="A66" s="209" t="s">
        <v>338</v>
      </c>
      <c r="B66" s="208" t="s">
        <v>311</v>
      </c>
      <c r="C66" s="208">
        <v>5</v>
      </c>
      <c r="D66" s="208" t="s">
        <v>306</v>
      </c>
      <c r="E66" s="210">
        <v>3</v>
      </c>
      <c r="F66" s="209" t="s">
        <v>338</v>
      </c>
      <c r="G66" s="208" t="s">
        <v>311</v>
      </c>
      <c r="H66" s="208">
        <v>5</v>
      </c>
      <c r="I66" s="208" t="s">
        <v>306</v>
      </c>
      <c r="J66" s="210">
        <v>3</v>
      </c>
    </row>
    <row r="67" spans="1:10" ht="17" customHeight="1" x14ac:dyDescent="0.2">
      <c r="A67" s="209" t="s">
        <v>339</v>
      </c>
      <c r="B67" s="208" t="s">
        <v>311</v>
      </c>
      <c r="C67" s="208">
        <v>5</v>
      </c>
      <c r="D67" s="208" t="s">
        <v>306</v>
      </c>
      <c r="E67" s="210">
        <v>5</v>
      </c>
      <c r="F67" s="209" t="s">
        <v>339</v>
      </c>
      <c r="G67" s="208" t="s">
        <v>311</v>
      </c>
      <c r="H67" s="208">
        <v>5</v>
      </c>
      <c r="I67" s="208" t="s">
        <v>306</v>
      </c>
      <c r="J67" s="210">
        <v>5</v>
      </c>
    </row>
    <row r="68" spans="1:10" ht="16" customHeight="1" x14ac:dyDescent="0.2">
      <c r="A68" s="205" t="s">
        <v>303</v>
      </c>
      <c r="B68" s="206" t="s">
        <v>315</v>
      </c>
      <c r="C68" s="206">
        <v>6</v>
      </c>
      <c r="D68" s="206" t="s">
        <v>306</v>
      </c>
      <c r="E68" s="207">
        <v>1</v>
      </c>
      <c r="F68" s="205" t="s">
        <v>303</v>
      </c>
      <c r="G68" s="206" t="s">
        <v>315</v>
      </c>
      <c r="H68" s="206">
        <v>6</v>
      </c>
      <c r="I68" s="206" t="s">
        <v>306</v>
      </c>
      <c r="J68" s="207">
        <v>1</v>
      </c>
    </row>
    <row r="69" spans="1:10" ht="16" customHeight="1" x14ac:dyDescent="0.2">
      <c r="A69" s="150" t="s">
        <v>303</v>
      </c>
      <c r="B69" s="151" t="s">
        <v>423</v>
      </c>
      <c r="C69" s="152">
        <v>5.5</v>
      </c>
      <c r="D69" s="152" t="s">
        <v>306</v>
      </c>
      <c r="E69" s="153">
        <v>1</v>
      </c>
      <c r="F69" s="150" t="s">
        <v>303</v>
      </c>
      <c r="G69" s="151" t="s">
        <v>423</v>
      </c>
      <c r="H69" s="152">
        <v>5.5</v>
      </c>
      <c r="I69" s="152" t="s">
        <v>306</v>
      </c>
      <c r="J69" s="153">
        <v>1</v>
      </c>
    </row>
    <row r="70" spans="1:10" ht="16" customHeight="1" x14ac:dyDescent="0.2">
      <c r="A70" s="209" t="s">
        <v>303</v>
      </c>
      <c r="B70" s="250" t="s">
        <v>298</v>
      </c>
      <c r="C70" s="208">
        <v>4.5</v>
      </c>
      <c r="D70" s="208" t="s">
        <v>40</v>
      </c>
      <c r="E70" s="210">
        <v>1</v>
      </c>
      <c r="F70" s="209" t="s">
        <v>303</v>
      </c>
      <c r="G70" s="250" t="s">
        <v>298</v>
      </c>
      <c r="H70" s="208">
        <v>4.5</v>
      </c>
      <c r="I70" s="208" t="s">
        <v>40</v>
      </c>
      <c r="J70" s="210">
        <v>1</v>
      </c>
    </row>
    <row r="71" spans="1:10" ht="17" customHeight="1" thickBot="1" x14ac:dyDescent="0.25">
      <c r="A71" s="251" t="s">
        <v>330</v>
      </c>
      <c r="B71" s="252" t="s">
        <v>417</v>
      </c>
      <c r="C71" s="253">
        <v>4</v>
      </c>
      <c r="D71" s="253" t="s">
        <v>40</v>
      </c>
      <c r="E71" s="254">
        <v>6</v>
      </c>
      <c r="F71" s="251" t="s">
        <v>330</v>
      </c>
      <c r="G71" s="252" t="s">
        <v>417</v>
      </c>
      <c r="H71" s="253">
        <v>4</v>
      </c>
      <c r="I71" s="253" t="s">
        <v>40</v>
      </c>
      <c r="J71" s="254">
        <v>6</v>
      </c>
    </row>
    <row r="72" spans="1:10" ht="17" customHeight="1" thickBot="1" x14ac:dyDescent="0.25">
      <c r="A72" s="101" t="s">
        <v>426</v>
      </c>
      <c r="B72" s="6"/>
      <c r="C72" s="216" t="s">
        <v>300</v>
      </c>
      <c r="D72" s="216" t="s">
        <v>301</v>
      </c>
      <c r="E72" s="7" t="s">
        <v>302</v>
      </c>
      <c r="F72"/>
      <c r="G72"/>
      <c r="H72"/>
      <c r="I72"/>
      <c r="J72"/>
    </row>
    <row r="73" spans="1:10" ht="17" customHeight="1" x14ac:dyDescent="0.2">
      <c r="A73" s="205" t="s">
        <v>338</v>
      </c>
      <c r="B73" s="206" t="s">
        <v>311</v>
      </c>
      <c r="C73" s="206">
        <v>5</v>
      </c>
      <c r="D73" s="206" t="s">
        <v>306</v>
      </c>
      <c r="E73" s="207">
        <v>4</v>
      </c>
      <c r="F73"/>
      <c r="G73"/>
      <c r="H73"/>
      <c r="I73"/>
      <c r="J73"/>
    </row>
    <row r="74" spans="1:10" ht="17" customHeight="1" x14ac:dyDescent="0.2">
      <c r="A74" s="205" t="s">
        <v>339</v>
      </c>
      <c r="B74" s="206" t="s">
        <v>311</v>
      </c>
      <c r="C74" s="206">
        <v>5</v>
      </c>
      <c r="D74" s="206" t="s">
        <v>306</v>
      </c>
      <c r="E74" s="207">
        <v>3</v>
      </c>
      <c r="F74"/>
      <c r="G74"/>
      <c r="H74"/>
      <c r="I74"/>
      <c r="J74"/>
    </row>
    <row r="75" spans="1:10" ht="17" customHeight="1" x14ac:dyDescent="0.2">
      <c r="A75" s="205" t="s">
        <v>339</v>
      </c>
      <c r="B75" s="206" t="s">
        <v>420</v>
      </c>
      <c r="C75" s="206">
        <v>7</v>
      </c>
      <c r="D75" s="206" t="s">
        <v>306</v>
      </c>
      <c r="E75" s="207">
        <v>2</v>
      </c>
      <c r="F75"/>
      <c r="G75"/>
      <c r="H75"/>
      <c r="I75"/>
      <c r="J75"/>
    </row>
    <row r="76" spans="1:10" ht="17" customHeight="1" x14ac:dyDescent="0.2">
      <c r="A76" s="150" t="s">
        <v>338</v>
      </c>
      <c r="B76" s="152" t="s">
        <v>309</v>
      </c>
      <c r="C76" s="152">
        <v>7</v>
      </c>
      <c r="D76" s="152" t="s">
        <v>306</v>
      </c>
      <c r="E76" s="153">
        <v>4</v>
      </c>
      <c r="F76"/>
      <c r="G76"/>
      <c r="H76"/>
      <c r="I76"/>
      <c r="J76"/>
    </row>
    <row r="77" spans="1:10" ht="17" customHeight="1" x14ac:dyDescent="0.2">
      <c r="A77" s="150" t="s">
        <v>339</v>
      </c>
      <c r="B77" s="152" t="s">
        <v>309</v>
      </c>
      <c r="C77" s="152">
        <v>7</v>
      </c>
      <c r="D77" s="152" t="s">
        <v>306</v>
      </c>
      <c r="E77" s="153">
        <v>5</v>
      </c>
      <c r="F77"/>
      <c r="G77"/>
      <c r="H77"/>
      <c r="I77"/>
      <c r="J77"/>
    </row>
    <row r="78" spans="1:10" ht="17" customHeight="1" x14ac:dyDescent="0.2">
      <c r="A78" s="209" t="s">
        <v>338</v>
      </c>
      <c r="B78" s="208" t="s">
        <v>315</v>
      </c>
      <c r="C78" s="208">
        <v>6</v>
      </c>
      <c r="D78" s="208" t="s">
        <v>306</v>
      </c>
      <c r="E78" s="210">
        <v>3</v>
      </c>
      <c r="F78"/>
      <c r="G78"/>
      <c r="H78"/>
      <c r="I78"/>
      <c r="J78"/>
    </row>
    <row r="79" spans="1:10" ht="17" customHeight="1" x14ac:dyDescent="0.2">
      <c r="A79" s="209" t="s">
        <v>339</v>
      </c>
      <c r="B79" s="208" t="s">
        <v>315</v>
      </c>
      <c r="C79" s="208">
        <v>6</v>
      </c>
      <c r="D79" s="208" t="s">
        <v>306</v>
      </c>
      <c r="E79" s="210">
        <v>5</v>
      </c>
      <c r="F79"/>
      <c r="G79"/>
      <c r="H79"/>
      <c r="I79"/>
      <c r="J79"/>
    </row>
    <row r="80" spans="1:10" ht="17" customHeight="1" x14ac:dyDescent="0.2">
      <c r="A80" s="205" t="s">
        <v>303</v>
      </c>
      <c r="B80" s="206" t="s">
        <v>315</v>
      </c>
      <c r="C80" s="206">
        <v>6</v>
      </c>
      <c r="D80" s="206" t="s">
        <v>306</v>
      </c>
      <c r="E80" s="207">
        <v>1</v>
      </c>
      <c r="F80"/>
      <c r="G80"/>
      <c r="H80"/>
      <c r="I80"/>
      <c r="J80"/>
    </row>
    <row r="81" spans="1:10" ht="17" customHeight="1" x14ac:dyDescent="0.2">
      <c r="A81" s="150" t="s">
        <v>303</v>
      </c>
      <c r="B81" s="151" t="s">
        <v>423</v>
      </c>
      <c r="C81" s="152">
        <v>5.5</v>
      </c>
      <c r="D81" s="152" t="s">
        <v>306</v>
      </c>
      <c r="E81" s="153">
        <v>1</v>
      </c>
      <c r="F81"/>
      <c r="G81"/>
      <c r="H81"/>
      <c r="I81"/>
      <c r="J81"/>
    </row>
    <row r="82" spans="1:10" ht="17" customHeight="1" x14ac:dyDescent="0.2">
      <c r="A82" s="209" t="s">
        <v>303</v>
      </c>
      <c r="B82" s="250" t="s">
        <v>299</v>
      </c>
      <c r="C82" s="208">
        <v>5.5</v>
      </c>
      <c r="D82" s="208" t="s">
        <v>40</v>
      </c>
      <c r="E82" s="210">
        <v>1</v>
      </c>
      <c r="F82"/>
      <c r="G82"/>
      <c r="H82"/>
      <c r="I82"/>
      <c r="J82"/>
    </row>
    <row r="83" spans="1:10" ht="17" customHeight="1" thickBot="1" x14ac:dyDescent="0.25">
      <c r="A83" s="251" t="s">
        <v>330</v>
      </c>
      <c r="B83" s="252" t="s">
        <v>417</v>
      </c>
      <c r="C83" s="253">
        <v>4</v>
      </c>
      <c r="D83" s="253" t="s">
        <v>40</v>
      </c>
      <c r="E83" s="254">
        <v>6</v>
      </c>
      <c r="F83"/>
      <c r="G83"/>
      <c r="H83"/>
      <c r="I83"/>
      <c r="J83"/>
    </row>
  </sheetData>
  <mergeCells count="7">
    <mergeCell ref="F49:G49"/>
    <mergeCell ref="F16:G16"/>
    <mergeCell ref="A5:B5"/>
    <mergeCell ref="A16:B16"/>
    <mergeCell ref="A27:B27"/>
    <mergeCell ref="F5:G5"/>
    <mergeCell ref="A38:B38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CCB7-AF5A-274E-B2C8-E6E61B097E1B}">
  <dimension ref="A1:AK41"/>
  <sheetViews>
    <sheetView topLeftCell="A9" zoomScale="60" workbookViewId="0">
      <selection activeCell="K27" sqref="K27"/>
    </sheetView>
  </sheetViews>
  <sheetFormatPr baseColWidth="10" defaultColWidth="9.1640625" defaultRowHeight="35" customHeight="1" x14ac:dyDescent="0.2"/>
  <cols>
    <col min="1" max="11" width="9.1640625" style="104"/>
    <col min="12" max="12" width="9.33203125" style="104" customWidth="1"/>
    <col min="13" max="16384" width="9.1640625" style="104"/>
  </cols>
  <sheetData>
    <row r="1" spans="1:36" ht="65" customHeight="1" x14ac:dyDescent="0.2">
      <c r="B1" s="348" t="s">
        <v>214</v>
      </c>
      <c r="C1" s="348"/>
      <c r="D1" s="348"/>
      <c r="E1" s="105" t="s">
        <v>216</v>
      </c>
      <c r="F1" s="346" t="s">
        <v>213</v>
      </c>
      <c r="G1" s="347"/>
      <c r="H1" s="347"/>
      <c r="I1" s="347"/>
      <c r="J1" s="106"/>
      <c r="K1" s="348" t="s">
        <v>214</v>
      </c>
      <c r="L1" s="348"/>
      <c r="M1" s="348"/>
      <c r="N1" s="105" t="s">
        <v>216</v>
      </c>
      <c r="O1" s="346" t="s">
        <v>213</v>
      </c>
      <c r="P1" s="347"/>
      <c r="Q1" s="347"/>
      <c r="R1" s="347"/>
      <c r="S1" s="106"/>
      <c r="T1" s="348" t="s">
        <v>214</v>
      </c>
      <c r="U1" s="348"/>
      <c r="V1" s="348"/>
      <c r="W1" s="105" t="s">
        <v>216</v>
      </c>
      <c r="X1" s="346" t="s">
        <v>213</v>
      </c>
      <c r="Y1" s="347"/>
      <c r="Z1" s="347"/>
      <c r="AA1" s="347"/>
      <c r="AB1" s="106"/>
      <c r="AC1" s="135" t="s">
        <v>268</v>
      </c>
      <c r="AD1" s="135" t="s">
        <v>268</v>
      </c>
      <c r="AE1" s="134" t="s">
        <v>267</v>
      </c>
      <c r="AF1" s="134" t="s">
        <v>267</v>
      </c>
      <c r="AG1" s="134" t="s">
        <v>267</v>
      </c>
      <c r="AH1" s="134" t="s">
        <v>267</v>
      </c>
      <c r="AI1" s="134" t="s">
        <v>267</v>
      </c>
      <c r="AJ1" s="134" t="s">
        <v>267</v>
      </c>
    </row>
    <row r="2" spans="1:36" ht="35" customHeight="1" x14ac:dyDescent="0.2">
      <c r="A2" s="52" t="s">
        <v>54</v>
      </c>
      <c r="B2" s="102" t="s">
        <v>198</v>
      </c>
      <c r="C2" s="102" t="s">
        <v>201</v>
      </c>
      <c r="D2" s="102" t="s">
        <v>202</v>
      </c>
      <c r="E2" s="102" t="s">
        <v>208</v>
      </c>
      <c r="F2" s="102" t="s">
        <v>203</v>
      </c>
      <c r="G2" s="60" t="s">
        <v>204</v>
      </c>
      <c r="H2" s="60" t="s">
        <v>205</v>
      </c>
      <c r="I2" s="60" t="s">
        <v>206</v>
      </c>
      <c r="J2" s="60"/>
      <c r="K2" s="60" t="s">
        <v>220</v>
      </c>
      <c r="L2" s="60" t="s">
        <v>221</v>
      </c>
      <c r="M2" s="60" t="s">
        <v>222</v>
      </c>
      <c r="N2" s="60" t="s">
        <v>223</v>
      </c>
      <c r="O2" s="60" t="s">
        <v>224</v>
      </c>
      <c r="P2" s="60" t="s">
        <v>225</v>
      </c>
      <c r="Q2" s="60" t="s">
        <v>226</v>
      </c>
      <c r="R2" s="60" t="s">
        <v>227</v>
      </c>
      <c r="S2" s="60"/>
      <c r="T2" s="60" t="s">
        <v>228</v>
      </c>
      <c r="U2" s="60" t="s">
        <v>229</v>
      </c>
      <c r="V2" s="60" t="s">
        <v>230</v>
      </c>
      <c r="W2" s="60" t="s">
        <v>239</v>
      </c>
      <c r="X2" s="60" t="s">
        <v>240</v>
      </c>
      <c r="Y2" s="60" t="s">
        <v>241</v>
      </c>
      <c r="Z2" s="60" t="s">
        <v>242</v>
      </c>
      <c r="AA2" s="60" t="s">
        <v>243</v>
      </c>
      <c r="AB2" s="60"/>
      <c r="AC2" s="60"/>
      <c r="AD2" s="60"/>
      <c r="AE2" s="60"/>
      <c r="AF2" s="60"/>
    </row>
    <row r="3" spans="1:36" ht="35" customHeight="1" x14ac:dyDescent="0.2">
      <c r="A3" s="52">
        <v>5</v>
      </c>
      <c r="B3" s="52"/>
      <c r="C3" s="102"/>
      <c r="D3" s="102"/>
      <c r="E3" s="102"/>
      <c r="F3" s="102"/>
      <c r="G3" s="102"/>
      <c r="H3" s="60"/>
      <c r="I3" s="60"/>
      <c r="J3" s="60"/>
      <c r="K3" s="60"/>
      <c r="L3" s="60"/>
      <c r="AC3" s="60"/>
      <c r="AD3" s="60"/>
    </row>
    <row r="4" spans="1:36" ht="35" customHeight="1" x14ac:dyDescent="0.2">
      <c r="A4" s="52">
        <v>530</v>
      </c>
      <c r="B4" s="52"/>
      <c r="C4" s="102"/>
      <c r="D4" s="102"/>
      <c r="E4" s="102"/>
      <c r="F4" s="102"/>
      <c r="G4" s="102"/>
      <c r="H4" s="60"/>
      <c r="I4" s="60"/>
      <c r="J4" s="60"/>
      <c r="K4" s="60"/>
      <c r="L4" s="60"/>
      <c r="AC4" s="60"/>
      <c r="AD4" s="60"/>
    </row>
    <row r="5" spans="1:36" ht="35" customHeight="1" x14ac:dyDescent="0.2">
      <c r="A5" s="52">
        <v>6</v>
      </c>
      <c r="B5" s="52"/>
      <c r="C5" s="102"/>
      <c r="D5" s="102"/>
      <c r="E5" s="102"/>
      <c r="F5" s="102"/>
      <c r="G5" s="102"/>
      <c r="H5" s="60"/>
      <c r="I5" s="60"/>
      <c r="J5" s="60"/>
      <c r="K5" s="60"/>
      <c r="L5" s="60"/>
      <c r="AC5" s="60"/>
      <c r="AD5" s="60"/>
    </row>
    <row r="6" spans="1:36" ht="35" customHeight="1" x14ac:dyDescent="0.2">
      <c r="A6" s="52">
        <v>630</v>
      </c>
      <c r="B6" s="52"/>
      <c r="C6" s="102"/>
      <c r="D6" s="102"/>
      <c r="E6" s="102"/>
      <c r="F6" s="102"/>
      <c r="G6" s="102"/>
      <c r="H6" s="60"/>
      <c r="I6" s="60"/>
      <c r="J6" s="60"/>
      <c r="K6" s="60"/>
      <c r="L6" s="60"/>
      <c r="AC6" s="60"/>
      <c r="AD6" s="60"/>
    </row>
    <row r="7" spans="1:36" ht="35" customHeight="1" x14ac:dyDescent="0.2">
      <c r="A7" s="107">
        <v>7</v>
      </c>
      <c r="B7" s="107"/>
      <c r="H7" s="60"/>
      <c r="I7" s="60"/>
      <c r="J7" s="60"/>
      <c r="K7" s="60"/>
      <c r="L7" s="60"/>
      <c r="AC7" s="60"/>
      <c r="AD7" s="60"/>
    </row>
    <row r="8" spans="1:36" ht="35" customHeight="1" x14ac:dyDescent="0.2">
      <c r="A8" s="108">
        <v>730</v>
      </c>
      <c r="B8" s="109" t="s">
        <v>231</v>
      </c>
      <c r="C8" s="109" t="s">
        <v>233</v>
      </c>
      <c r="D8" s="109" t="s">
        <v>232</v>
      </c>
      <c r="E8" s="355" t="s">
        <v>216</v>
      </c>
      <c r="F8" s="110" t="s">
        <v>232</v>
      </c>
      <c r="G8" s="110" t="s">
        <v>232</v>
      </c>
      <c r="H8" s="110" t="s">
        <v>332</v>
      </c>
      <c r="I8" s="110" t="s">
        <v>332</v>
      </c>
      <c r="J8" s="355" t="s">
        <v>216</v>
      </c>
      <c r="K8" s="60"/>
      <c r="L8" s="60"/>
      <c r="AC8" s="129" t="s">
        <v>269</v>
      </c>
      <c r="AD8" s="130"/>
    </row>
    <row r="9" spans="1:36" ht="35" customHeight="1" x14ac:dyDescent="0.2">
      <c r="A9" s="107">
        <v>8</v>
      </c>
      <c r="B9" s="109" t="s">
        <v>211</v>
      </c>
      <c r="C9" s="109" t="s">
        <v>196</v>
      </c>
      <c r="D9" s="109" t="s">
        <v>197</v>
      </c>
      <c r="E9" s="355"/>
      <c r="F9" s="110" t="s">
        <v>207</v>
      </c>
      <c r="G9" s="110" t="s">
        <v>131</v>
      </c>
      <c r="H9" s="110" t="s">
        <v>200</v>
      </c>
      <c r="I9" s="110" t="s">
        <v>199</v>
      </c>
      <c r="J9" s="355"/>
      <c r="K9" s="60"/>
      <c r="L9" s="60"/>
      <c r="AC9" s="126" t="s">
        <v>270</v>
      </c>
      <c r="AD9" s="130"/>
    </row>
    <row r="10" spans="1:36" ht="35" customHeight="1" x14ac:dyDescent="0.2">
      <c r="A10" s="108">
        <v>830</v>
      </c>
      <c r="B10" s="109" t="s">
        <v>212</v>
      </c>
      <c r="C10" s="109" t="s">
        <v>196</v>
      </c>
      <c r="D10" s="109" t="s">
        <v>197</v>
      </c>
      <c r="E10" s="355"/>
      <c r="F10" s="110" t="s">
        <v>207</v>
      </c>
      <c r="G10" s="110" t="s">
        <v>131</v>
      </c>
      <c r="H10" s="110" t="s">
        <v>200</v>
      </c>
      <c r="I10" s="110" t="s">
        <v>199</v>
      </c>
      <c r="J10" s="355"/>
      <c r="K10" s="60"/>
      <c r="L10" s="60"/>
      <c r="AC10" s="126" t="s">
        <v>270</v>
      </c>
      <c r="AD10" s="130"/>
    </row>
    <row r="11" spans="1:36" ht="35" customHeight="1" x14ac:dyDescent="0.2">
      <c r="A11" s="107">
        <v>9</v>
      </c>
      <c r="B11" s="109" t="s">
        <v>196</v>
      </c>
      <c r="C11" s="109" t="s">
        <v>197</v>
      </c>
      <c r="D11" s="111" t="s">
        <v>218</v>
      </c>
      <c r="E11" s="112" t="s">
        <v>217</v>
      </c>
      <c r="F11" s="110" t="s">
        <v>131</v>
      </c>
      <c r="G11" s="110" t="s">
        <v>200</v>
      </c>
      <c r="H11" s="110" t="s">
        <v>199</v>
      </c>
      <c r="I11" s="113" t="s">
        <v>219</v>
      </c>
      <c r="J11" s="112" t="s">
        <v>217</v>
      </c>
      <c r="K11" s="60"/>
      <c r="L11" s="60"/>
      <c r="AC11" s="138" t="s">
        <v>342</v>
      </c>
      <c r="AD11" s="132"/>
    </row>
    <row r="12" spans="1:36" ht="35" customHeight="1" x14ac:dyDescent="0.2">
      <c r="A12" s="108">
        <v>930</v>
      </c>
      <c r="B12" s="109" t="s">
        <v>196</v>
      </c>
      <c r="C12" s="109" t="s">
        <v>197</v>
      </c>
      <c r="D12" s="109" t="s">
        <v>212</v>
      </c>
      <c r="E12" s="112" t="s">
        <v>216</v>
      </c>
      <c r="F12" s="110" t="s">
        <v>131</v>
      </c>
      <c r="G12" s="110" t="s">
        <v>200</v>
      </c>
      <c r="H12" s="110" t="s">
        <v>199</v>
      </c>
      <c r="I12" s="110" t="s">
        <v>207</v>
      </c>
      <c r="J12" s="112" t="s">
        <v>216</v>
      </c>
      <c r="K12" s="60"/>
      <c r="L12" s="60"/>
      <c r="AC12" s="126" t="s">
        <v>270</v>
      </c>
      <c r="AD12" s="130"/>
    </row>
    <row r="13" spans="1:36" ht="35" customHeight="1" x14ac:dyDescent="0.2">
      <c r="A13" s="107">
        <v>10</v>
      </c>
      <c r="B13" s="109" t="s">
        <v>197</v>
      </c>
      <c r="C13" s="111" t="s">
        <v>218</v>
      </c>
      <c r="D13" s="109" t="s">
        <v>196</v>
      </c>
      <c r="E13" s="112" t="s">
        <v>217</v>
      </c>
      <c r="F13" s="110" t="s">
        <v>200</v>
      </c>
      <c r="G13" s="110" t="s">
        <v>199</v>
      </c>
      <c r="H13" s="113" t="s">
        <v>219</v>
      </c>
      <c r="I13" s="110" t="s">
        <v>131</v>
      </c>
      <c r="J13" s="112" t="s">
        <v>217</v>
      </c>
      <c r="K13" s="60"/>
      <c r="L13" s="60"/>
      <c r="AC13" s="126" t="s">
        <v>270</v>
      </c>
      <c r="AD13" s="130"/>
    </row>
    <row r="14" spans="1:36" ht="35" customHeight="1" x14ac:dyDescent="0.2">
      <c r="A14" s="108">
        <v>1030</v>
      </c>
      <c r="B14" s="109" t="s">
        <v>197</v>
      </c>
      <c r="C14" s="109" t="s">
        <v>212</v>
      </c>
      <c r="D14" s="109" t="s">
        <v>196</v>
      </c>
      <c r="E14" s="112" t="s">
        <v>216</v>
      </c>
      <c r="F14" s="110" t="s">
        <v>200</v>
      </c>
      <c r="G14" s="110" t="s">
        <v>199</v>
      </c>
      <c r="H14" s="110" t="s">
        <v>207</v>
      </c>
      <c r="I14" s="110" t="s">
        <v>131</v>
      </c>
      <c r="J14" s="112" t="s">
        <v>216</v>
      </c>
      <c r="K14" s="60"/>
      <c r="L14" s="60"/>
      <c r="AC14" s="126" t="s">
        <v>270</v>
      </c>
      <c r="AD14" s="130"/>
    </row>
    <row r="15" spans="1:36" ht="35" customHeight="1" x14ac:dyDescent="0.2">
      <c r="A15" s="107">
        <v>11</v>
      </c>
      <c r="B15" s="111" t="s">
        <v>218</v>
      </c>
      <c r="C15" s="109" t="s">
        <v>196</v>
      </c>
      <c r="D15" s="109" t="s">
        <v>197</v>
      </c>
      <c r="E15" s="112" t="s">
        <v>217</v>
      </c>
      <c r="F15" s="110" t="s">
        <v>199</v>
      </c>
      <c r="G15" s="113" t="s">
        <v>219</v>
      </c>
      <c r="H15" s="110" t="s">
        <v>131</v>
      </c>
      <c r="I15" s="110" t="s">
        <v>200</v>
      </c>
      <c r="J15" s="112" t="s">
        <v>217</v>
      </c>
      <c r="K15" s="60"/>
      <c r="L15" s="60"/>
      <c r="AC15" s="138" t="s">
        <v>343</v>
      </c>
      <c r="AD15" s="130"/>
    </row>
    <row r="16" spans="1:36" ht="35" customHeight="1" x14ac:dyDescent="0.2">
      <c r="A16" s="108">
        <v>1130</v>
      </c>
      <c r="B16" s="109" t="s">
        <v>212</v>
      </c>
      <c r="C16" s="109" t="s">
        <v>196</v>
      </c>
      <c r="D16" s="109" t="s">
        <v>197</v>
      </c>
      <c r="E16" s="112" t="s">
        <v>396</v>
      </c>
      <c r="F16" s="110" t="s">
        <v>199</v>
      </c>
      <c r="G16" s="110" t="s">
        <v>207</v>
      </c>
      <c r="H16" s="110" t="s">
        <v>131</v>
      </c>
      <c r="I16" s="110" t="s">
        <v>200</v>
      </c>
      <c r="J16" s="112" t="s">
        <v>396</v>
      </c>
      <c r="K16" s="109" t="s">
        <v>235</v>
      </c>
      <c r="L16" s="109" t="s">
        <v>236</v>
      </c>
      <c r="M16" s="109" t="s">
        <v>235</v>
      </c>
      <c r="N16" s="355" t="s">
        <v>216</v>
      </c>
      <c r="O16" s="110" t="s">
        <v>235</v>
      </c>
      <c r="P16" s="110" t="s">
        <v>235</v>
      </c>
      <c r="Q16" s="110" t="s">
        <v>235</v>
      </c>
      <c r="R16" s="110" t="s">
        <v>235</v>
      </c>
      <c r="S16" s="355" t="s">
        <v>216</v>
      </c>
      <c r="AC16" s="126" t="s">
        <v>270</v>
      </c>
      <c r="AD16" s="130"/>
    </row>
    <row r="17" spans="1:37" ht="35" customHeight="1" x14ac:dyDescent="0.2">
      <c r="A17" s="107">
        <v>12</v>
      </c>
      <c r="B17" s="102" t="s">
        <v>215</v>
      </c>
      <c r="C17" s="102" t="s">
        <v>215</v>
      </c>
      <c r="D17" s="102" t="s">
        <v>215</v>
      </c>
      <c r="E17" s="102" t="s">
        <v>215</v>
      </c>
      <c r="F17" s="102" t="s">
        <v>215</v>
      </c>
      <c r="G17" s="102" t="s">
        <v>215</v>
      </c>
      <c r="H17" s="138" t="s">
        <v>244</v>
      </c>
      <c r="I17" s="138" t="s">
        <v>244</v>
      </c>
      <c r="J17" s="102" t="s">
        <v>215</v>
      </c>
      <c r="K17" s="109" t="s">
        <v>211</v>
      </c>
      <c r="L17" s="109" t="s">
        <v>196</v>
      </c>
      <c r="M17" s="109" t="s">
        <v>197</v>
      </c>
      <c r="N17" s="355"/>
      <c r="O17" s="110" t="s">
        <v>207</v>
      </c>
      <c r="P17" s="110" t="s">
        <v>131</v>
      </c>
      <c r="Q17" s="110" t="s">
        <v>200</v>
      </c>
      <c r="R17" s="110" t="s">
        <v>199</v>
      </c>
      <c r="S17" s="355"/>
      <c r="AC17" s="126" t="s">
        <v>270</v>
      </c>
      <c r="AD17" s="130"/>
    </row>
    <row r="18" spans="1:37" ht="35" customHeight="1" x14ac:dyDescent="0.2">
      <c r="A18" s="108">
        <v>1230</v>
      </c>
      <c r="B18" s="107"/>
      <c r="C18" s="102"/>
      <c r="D18" s="102"/>
      <c r="E18" s="102"/>
      <c r="F18" s="102"/>
      <c r="G18" s="102"/>
      <c r="H18" s="189" t="s">
        <v>129</v>
      </c>
      <c r="I18" s="189" t="s">
        <v>129</v>
      </c>
      <c r="J18" s="102"/>
      <c r="K18" s="109" t="s">
        <v>212</v>
      </c>
      <c r="L18" s="109" t="s">
        <v>196</v>
      </c>
      <c r="M18" s="109" t="s">
        <v>197</v>
      </c>
      <c r="N18" s="355"/>
      <c r="O18" s="110" t="s">
        <v>207</v>
      </c>
      <c r="P18" s="110" t="s">
        <v>131</v>
      </c>
      <c r="Q18" s="110" t="s">
        <v>200</v>
      </c>
      <c r="R18" s="110" t="s">
        <v>199</v>
      </c>
      <c r="S18" s="355"/>
      <c r="AC18" s="126" t="s">
        <v>270</v>
      </c>
      <c r="AD18" s="130"/>
    </row>
    <row r="19" spans="1:37" ht="35" customHeight="1" x14ac:dyDescent="0.2">
      <c r="A19" s="107">
        <v>1</v>
      </c>
      <c r="B19" s="107"/>
      <c r="C19" s="102"/>
      <c r="D19" s="102"/>
      <c r="E19" s="102"/>
      <c r="F19" s="102"/>
      <c r="G19" s="102"/>
      <c r="H19" s="112" t="s">
        <v>331</v>
      </c>
      <c r="I19" s="112" t="s">
        <v>331</v>
      </c>
      <c r="J19" s="102"/>
      <c r="K19" s="109" t="s">
        <v>196</v>
      </c>
      <c r="L19" s="109" t="s">
        <v>197</v>
      </c>
      <c r="M19" s="111" t="s">
        <v>218</v>
      </c>
      <c r="N19" s="112" t="s">
        <v>217</v>
      </c>
      <c r="O19" s="110" t="s">
        <v>131</v>
      </c>
      <c r="P19" s="110" t="s">
        <v>200</v>
      </c>
      <c r="Q19" s="110" t="s">
        <v>199</v>
      </c>
      <c r="R19" s="113" t="s">
        <v>219</v>
      </c>
      <c r="S19" s="112" t="s">
        <v>217</v>
      </c>
      <c r="AC19" s="126" t="s">
        <v>270</v>
      </c>
      <c r="AD19" s="130"/>
    </row>
    <row r="20" spans="1:37" ht="35" customHeight="1" x14ac:dyDescent="0.2">
      <c r="A20" s="108">
        <v>130</v>
      </c>
      <c r="B20" s="107"/>
      <c r="C20" s="102"/>
      <c r="D20" s="102"/>
      <c r="E20" s="102"/>
      <c r="F20" s="102"/>
      <c r="G20" s="102"/>
      <c r="H20" s="112" t="s">
        <v>331</v>
      </c>
      <c r="I20" s="112" t="s">
        <v>331</v>
      </c>
      <c r="J20" s="102"/>
      <c r="K20" s="109" t="s">
        <v>196</v>
      </c>
      <c r="L20" s="109" t="s">
        <v>197</v>
      </c>
      <c r="M20" s="109" t="s">
        <v>212</v>
      </c>
      <c r="N20" s="112" t="s">
        <v>216</v>
      </c>
      <c r="O20" s="110" t="s">
        <v>131</v>
      </c>
      <c r="P20" s="110" t="s">
        <v>200</v>
      </c>
      <c r="Q20" s="110" t="s">
        <v>199</v>
      </c>
      <c r="R20" s="110" t="s">
        <v>207</v>
      </c>
      <c r="S20" s="112" t="s">
        <v>216</v>
      </c>
      <c r="AC20" s="191" t="s">
        <v>274</v>
      </c>
      <c r="AD20" s="126" t="s">
        <v>266</v>
      </c>
    </row>
    <row r="21" spans="1:37" ht="47" customHeight="1" x14ac:dyDescent="0.2">
      <c r="A21" s="107">
        <v>2</v>
      </c>
      <c r="B21" s="107"/>
      <c r="C21" s="102"/>
      <c r="D21" s="102"/>
      <c r="E21" s="102"/>
      <c r="F21" s="102"/>
      <c r="G21" s="102"/>
      <c r="H21" s="102"/>
      <c r="I21" s="102"/>
      <c r="J21" s="102"/>
      <c r="K21" s="109" t="s">
        <v>197</v>
      </c>
      <c r="L21" s="111" t="s">
        <v>218</v>
      </c>
      <c r="M21" s="109" t="s">
        <v>196</v>
      </c>
      <c r="N21" s="112" t="s">
        <v>217</v>
      </c>
      <c r="O21" s="110" t="s">
        <v>200</v>
      </c>
      <c r="P21" s="110" t="s">
        <v>199</v>
      </c>
      <c r="Q21" s="113" t="s">
        <v>219</v>
      </c>
      <c r="R21" s="110" t="s">
        <v>131</v>
      </c>
      <c r="S21" s="112" t="s">
        <v>217</v>
      </c>
      <c r="AC21" s="102"/>
      <c r="AD21" s="126" t="s">
        <v>270</v>
      </c>
    </row>
    <row r="22" spans="1:37" ht="45" customHeight="1" x14ac:dyDescent="0.2">
      <c r="A22" s="108">
        <v>230</v>
      </c>
      <c r="B22" s="107"/>
      <c r="C22" s="102"/>
      <c r="D22" s="102"/>
      <c r="E22" s="102"/>
      <c r="F22" s="102"/>
      <c r="G22" s="102"/>
      <c r="H22" s="102"/>
      <c r="I22" s="102"/>
      <c r="J22" s="102"/>
      <c r="K22" s="109" t="s">
        <v>197</v>
      </c>
      <c r="L22" s="109" t="s">
        <v>212</v>
      </c>
      <c r="M22" s="109" t="s">
        <v>196</v>
      </c>
      <c r="N22" s="112" t="s">
        <v>216</v>
      </c>
      <c r="O22" s="110" t="s">
        <v>200</v>
      </c>
      <c r="P22" s="110" t="s">
        <v>199</v>
      </c>
      <c r="Q22" s="110" t="s">
        <v>207</v>
      </c>
      <c r="R22" s="110" t="s">
        <v>131</v>
      </c>
      <c r="S22" s="112" t="s">
        <v>216</v>
      </c>
      <c r="AC22" s="130"/>
      <c r="AD22" s="126" t="s">
        <v>270</v>
      </c>
    </row>
    <row r="23" spans="1:37" ht="35" customHeight="1" x14ac:dyDescent="0.2">
      <c r="A23" s="107">
        <v>3</v>
      </c>
      <c r="B23" s="107"/>
      <c r="C23" s="102"/>
      <c r="D23" s="190"/>
      <c r="E23" s="190"/>
      <c r="F23" s="190"/>
      <c r="G23" s="190"/>
      <c r="H23" s="190"/>
      <c r="I23" s="190"/>
      <c r="J23" s="190"/>
      <c r="K23" s="111" t="s">
        <v>218</v>
      </c>
      <c r="L23" s="109" t="s">
        <v>196</v>
      </c>
      <c r="M23" s="109" t="s">
        <v>197</v>
      </c>
      <c r="N23" s="112" t="s">
        <v>217</v>
      </c>
      <c r="O23" s="110" t="s">
        <v>199</v>
      </c>
      <c r="P23" s="113" t="s">
        <v>219</v>
      </c>
      <c r="Q23" s="110" t="s">
        <v>131</v>
      </c>
      <c r="R23" s="110" t="s">
        <v>200</v>
      </c>
      <c r="S23" s="112" t="s">
        <v>217</v>
      </c>
      <c r="AC23" s="130"/>
      <c r="AD23" s="138" t="s">
        <v>342</v>
      </c>
      <c r="AE23" s="192">
        <v>0.125</v>
      </c>
      <c r="AF23" s="192">
        <v>0.125</v>
      </c>
      <c r="AG23" s="192">
        <v>0.125</v>
      </c>
      <c r="AH23" s="192">
        <v>0.125</v>
      </c>
      <c r="AI23" s="192">
        <v>0.125</v>
      </c>
      <c r="AJ23" s="192">
        <v>0.125</v>
      </c>
    </row>
    <row r="24" spans="1:37" ht="35" customHeight="1" x14ac:dyDescent="0.2">
      <c r="A24" s="114">
        <v>0.14583333333333334</v>
      </c>
      <c r="B24" s="115"/>
      <c r="C24" s="102"/>
      <c r="D24" s="102"/>
      <c r="E24" s="102"/>
      <c r="F24" s="102"/>
      <c r="G24" s="102"/>
      <c r="H24" s="102"/>
      <c r="I24" s="102"/>
      <c r="J24" s="102"/>
      <c r="K24" s="109" t="s">
        <v>212</v>
      </c>
      <c r="L24" s="109" t="s">
        <v>196</v>
      </c>
      <c r="M24" s="109" t="s">
        <v>197</v>
      </c>
      <c r="N24" s="112" t="s">
        <v>396</v>
      </c>
      <c r="O24" s="110" t="s">
        <v>199</v>
      </c>
      <c r="P24" s="110" t="s">
        <v>207</v>
      </c>
      <c r="Q24" s="110" t="s">
        <v>131</v>
      </c>
      <c r="R24" s="110" t="s">
        <v>200</v>
      </c>
      <c r="S24" s="112" t="s">
        <v>396</v>
      </c>
      <c r="T24" s="109" t="s">
        <v>237</v>
      </c>
      <c r="U24" s="109" t="s">
        <v>210</v>
      </c>
      <c r="V24" s="109" t="s">
        <v>237</v>
      </c>
      <c r="W24" s="355" t="s">
        <v>216</v>
      </c>
      <c r="X24" s="110" t="s">
        <v>237</v>
      </c>
      <c r="Y24" s="110" t="s">
        <v>237</v>
      </c>
      <c r="Z24" s="110" t="s">
        <v>237</v>
      </c>
      <c r="AA24" s="110" t="s">
        <v>237</v>
      </c>
      <c r="AB24" s="355" t="s">
        <v>216</v>
      </c>
      <c r="AC24" s="130"/>
      <c r="AD24" s="136">
        <v>330</v>
      </c>
      <c r="AE24" s="133"/>
      <c r="AF24" s="133"/>
      <c r="AG24" s="133"/>
      <c r="AH24" s="133"/>
      <c r="AI24" s="133"/>
      <c r="AJ24" s="133"/>
      <c r="AK24" s="102"/>
    </row>
    <row r="25" spans="1:37" ht="35" customHeight="1" x14ac:dyDescent="0.2">
      <c r="A25" s="107">
        <v>4</v>
      </c>
      <c r="B25" s="107"/>
      <c r="C25" s="60"/>
      <c r="D25" s="137"/>
      <c r="E25" s="137"/>
      <c r="F25" s="137"/>
      <c r="G25" s="137"/>
      <c r="H25" s="137"/>
      <c r="I25" s="137"/>
      <c r="J25" s="137"/>
      <c r="K25" s="102" t="s">
        <v>234</v>
      </c>
      <c r="L25" s="102" t="s">
        <v>234</v>
      </c>
      <c r="M25" s="102" t="s">
        <v>234</v>
      </c>
      <c r="T25" s="109" t="s">
        <v>211</v>
      </c>
      <c r="U25" s="109" t="s">
        <v>196</v>
      </c>
      <c r="V25" s="109" t="s">
        <v>197</v>
      </c>
      <c r="W25" s="355"/>
      <c r="X25" s="110" t="s">
        <v>207</v>
      </c>
      <c r="Y25" s="110" t="s">
        <v>131</v>
      </c>
      <c r="Z25" s="110" t="s">
        <v>200</v>
      </c>
      <c r="AA25" s="110" t="s">
        <v>199</v>
      </c>
      <c r="AB25" s="355"/>
      <c r="AC25" s="130"/>
      <c r="AD25" s="136">
        <v>4</v>
      </c>
      <c r="AE25" s="139"/>
      <c r="AF25" s="139"/>
      <c r="AG25" s="139"/>
      <c r="AH25" s="139"/>
      <c r="AI25" s="139"/>
      <c r="AJ25" s="139"/>
      <c r="AK25" s="137"/>
    </row>
    <row r="26" spans="1:37" ht="35" customHeight="1" x14ac:dyDescent="0.2">
      <c r="A26" s="114">
        <v>0.1875</v>
      </c>
      <c r="B26" s="115"/>
      <c r="C26" s="60"/>
      <c r="D26" s="137"/>
      <c r="E26" s="137"/>
      <c r="F26" s="137"/>
      <c r="G26" s="137"/>
      <c r="H26" s="137"/>
      <c r="I26" s="137"/>
      <c r="J26" s="137"/>
      <c r="K26" s="60"/>
      <c r="L26" s="60"/>
      <c r="T26" s="109" t="s">
        <v>212</v>
      </c>
      <c r="U26" s="109" t="s">
        <v>196</v>
      </c>
      <c r="V26" s="109" t="s">
        <v>197</v>
      </c>
      <c r="W26" s="355"/>
      <c r="X26" s="110" t="s">
        <v>207</v>
      </c>
      <c r="Y26" s="110" t="s">
        <v>131</v>
      </c>
      <c r="Z26" s="110" t="s">
        <v>200</v>
      </c>
      <c r="AA26" s="110" t="s">
        <v>199</v>
      </c>
      <c r="AB26" s="355"/>
      <c r="AC26" s="130"/>
      <c r="AD26" s="136">
        <v>5</v>
      </c>
      <c r="AE26" s="139"/>
      <c r="AF26" s="139"/>
      <c r="AG26" s="139"/>
      <c r="AH26" s="139"/>
      <c r="AI26" s="139"/>
      <c r="AJ26" s="139"/>
      <c r="AK26" s="137"/>
    </row>
    <row r="27" spans="1:37" ht="35" customHeight="1" x14ac:dyDescent="0.2">
      <c r="A27" s="107">
        <v>5</v>
      </c>
      <c r="B27" s="107"/>
      <c r="C27" s="60"/>
      <c r="D27" s="140"/>
      <c r="E27" s="140"/>
      <c r="F27" s="140"/>
      <c r="G27" s="140"/>
      <c r="H27" s="140"/>
      <c r="I27" s="140"/>
      <c r="J27" s="140"/>
      <c r="K27" s="60"/>
      <c r="L27" s="60"/>
      <c r="T27" s="109" t="s">
        <v>196</v>
      </c>
      <c r="U27" s="109" t="s">
        <v>197</v>
      </c>
      <c r="V27" s="111" t="s">
        <v>218</v>
      </c>
      <c r="W27" s="112" t="s">
        <v>217</v>
      </c>
      <c r="X27" s="110" t="s">
        <v>131</v>
      </c>
      <c r="Y27" s="110" t="s">
        <v>200</v>
      </c>
      <c r="Z27" s="110" t="s">
        <v>199</v>
      </c>
      <c r="AA27" s="113" t="s">
        <v>219</v>
      </c>
      <c r="AB27" s="112" t="s">
        <v>217</v>
      </c>
      <c r="AC27" s="130"/>
      <c r="AD27" s="138" t="s">
        <v>343</v>
      </c>
      <c r="AE27" s="270" t="s">
        <v>450</v>
      </c>
      <c r="AF27" s="270" t="s">
        <v>450</v>
      </c>
      <c r="AG27" s="270" t="s">
        <v>450</v>
      </c>
      <c r="AH27" s="270" t="s">
        <v>450</v>
      </c>
      <c r="AI27" s="270" t="s">
        <v>450</v>
      </c>
      <c r="AJ27" s="270" t="s">
        <v>450</v>
      </c>
      <c r="AK27" s="137"/>
    </row>
    <row r="28" spans="1:37" ht="35" customHeight="1" x14ac:dyDescent="0.2">
      <c r="A28" s="108">
        <v>530</v>
      </c>
      <c r="B28" s="107"/>
      <c r="C28" s="60"/>
      <c r="D28" s="140"/>
      <c r="E28" s="140"/>
      <c r="F28" s="140"/>
      <c r="G28" s="140"/>
      <c r="H28" s="140"/>
      <c r="I28" s="140"/>
      <c r="J28" s="140"/>
      <c r="K28" s="60"/>
      <c r="L28" s="60"/>
      <c r="T28" s="109" t="s">
        <v>196</v>
      </c>
      <c r="U28" s="109" t="s">
        <v>197</v>
      </c>
      <c r="V28" s="109" t="s">
        <v>212</v>
      </c>
      <c r="W28" s="112" t="s">
        <v>216</v>
      </c>
      <c r="X28" s="110" t="s">
        <v>131</v>
      </c>
      <c r="Y28" s="110" t="s">
        <v>200</v>
      </c>
      <c r="Z28" s="110" t="s">
        <v>199</v>
      </c>
      <c r="AA28" s="110" t="s">
        <v>207</v>
      </c>
      <c r="AB28" s="112" t="s">
        <v>216</v>
      </c>
      <c r="AC28" s="137"/>
      <c r="AD28" s="136">
        <v>530</v>
      </c>
      <c r="AE28" s="349" t="s">
        <v>405</v>
      </c>
      <c r="AF28" s="350"/>
      <c r="AG28" s="350"/>
      <c r="AH28" s="350"/>
      <c r="AI28" s="350"/>
      <c r="AJ28" s="351"/>
      <c r="AK28" s="137"/>
    </row>
    <row r="29" spans="1:37" ht="35" customHeight="1" x14ac:dyDescent="0.2">
      <c r="A29" s="107">
        <v>6</v>
      </c>
      <c r="B29" s="107"/>
      <c r="C29" s="60"/>
      <c r="D29" s="140"/>
      <c r="E29" s="140"/>
      <c r="F29" s="140"/>
      <c r="G29" s="140"/>
      <c r="H29" s="140"/>
      <c r="I29" s="140"/>
      <c r="J29" s="140"/>
      <c r="K29" s="60"/>
      <c r="L29" s="60"/>
      <c r="T29" s="109" t="s">
        <v>197</v>
      </c>
      <c r="U29" s="111" t="s">
        <v>218</v>
      </c>
      <c r="V29" s="109" t="s">
        <v>196</v>
      </c>
      <c r="W29" s="112" t="s">
        <v>217</v>
      </c>
      <c r="X29" s="110" t="s">
        <v>200</v>
      </c>
      <c r="Y29" s="110" t="s">
        <v>199</v>
      </c>
      <c r="Z29" s="113" t="s">
        <v>219</v>
      </c>
      <c r="AA29" s="110" t="s">
        <v>131</v>
      </c>
      <c r="AB29" s="112" t="s">
        <v>217</v>
      </c>
      <c r="AC29" s="137"/>
      <c r="AD29" s="136">
        <v>6</v>
      </c>
      <c r="AE29" s="352" t="s">
        <v>406</v>
      </c>
      <c r="AF29" s="353"/>
      <c r="AG29" s="353"/>
      <c r="AH29" s="353"/>
      <c r="AI29" s="353"/>
      <c r="AJ29" s="354"/>
      <c r="AK29" s="137"/>
    </row>
    <row r="30" spans="1:37" ht="35" customHeight="1" x14ac:dyDescent="0.2">
      <c r="A30" s="108">
        <v>630</v>
      </c>
      <c r="B30" s="107"/>
      <c r="C30" s="60"/>
      <c r="D30" s="140"/>
      <c r="E30" s="140"/>
      <c r="F30" s="140"/>
      <c r="G30" s="140"/>
      <c r="H30" s="140"/>
      <c r="I30" s="140"/>
      <c r="J30" s="140"/>
      <c r="K30" s="60"/>
      <c r="L30" s="60"/>
      <c r="T30" s="109" t="s">
        <v>197</v>
      </c>
      <c r="U30" s="109" t="s">
        <v>212</v>
      </c>
      <c r="V30" s="109" t="s">
        <v>196</v>
      </c>
      <c r="W30" s="112" t="s">
        <v>216</v>
      </c>
      <c r="X30" s="110" t="s">
        <v>200</v>
      </c>
      <c r="Y30" s="110" t="s">
        <v>199</v>
      </c>
      <c r="Z30" s="110" t="s">
        <v>207</v>
      </c>
      <c r="AA30" s="110" t="s">
        <v>131</v>
      </c>
      <c r="AB30" s="112" t="s">
        <v>216</v>
      </c>
      <c r="AC30" s="137"/>
      <c r="AD30" s="128">
        <v>7</v>
      </c>
      <c r="AE30" s="352" t="s">
        <v>406</v>
      </c>
      <c r="AF30" s="353"/>
      <c r="AG30" s="353"/>
      <c r="AH30" s="353"/>
      <c r="AI30" s="353"/>
      <c r="AJ30" s="354"/>
      <c r="AK30" s="137"/>
    </row>
    <row r="31" spans="1:37" ht="35" customHeight="1" x14ac:dyDescent="0.2">
      <c r="A31" s="107">
        <v>7</v>
      </c>
      <c r="B31" s="107"/>
      <c r="C31" s="60"/>
      <c r="D31" s="60"/>
      <c r="E31" s="60"/>
      <c r="F31" s="60"/>
      <c r="G31" s="60"/>
      <c r="H31" s="60"/>
      <c r="I31" s="60"/>
      <c r="J31" s="60"/>
      <c r="K31" s="60"/>
      <c r="L31" s="60"/>
      <c r="T31" s="111" t="s">
        <v>218</v>
      </c>
      <c r="U31" s="109" t="s">
        <v>196</v>
      </c>
      <c r="V31" s="109" t="s">
        <v>197</v>
      </c>
      <c r="W31" s="112" t="s">
        <v>217</v>
      </c>
      <c r="X31" s="110" t="s">
        <v>199</v>
      </c>
      <c r="Y31" s="113" t="s">
        <v>219</v>
      </c>
      <c r="Z31" s="110" t="s">
        <v>131</v>
      </c>
      <c r="AA31" s="110" t="s">
        <v>200</v>
      </c>
      <c r="AB31" s="112" t="s">
        <v>217</v>
      </c>
      <c r="AC31" s="60"/>
      <c r="AD31" s="128" t="s">
        <v>344</v>
      </c>
      <c r="AE31" s="60" t="s">
        <v>272</v>
      </c>
      <c r="AF31" s="60" t="s">
        <v>272</v>
      </c>
      <c r="AG31" s="60" t="s">
        <v>272</v>
      </c>
      <c r="AH31" s="60" t="s">
        <v>272</v>
      </c>
      <c r="AI31" s="60" t="s">
        <v>272</v>
      </c>
      <c r="AJ31" s="60" t="s">
        <v>272</v>
      </c>
      <c r="AK31" s="60"/>
    </row>
    <row r="32" spans="1:37" ht="35" customHeight="1" x14ac:dyDescent="0.2">
      <c r="A32" s="108">
        <v>730</v>
      </c>
      <c r="B32" s="107"/>
      <c r="C32" s="60"/>
      <c r="K32" s="60"/>
      <c r="L32" s="60"/>
      <c r="T32" s="109" t="s">
        <v>212</v>
      </c>
      <c r="U32" s="109" t="s">
        <v>196</v>
      </c>
      <c r="V32" s="109" t="s">
        <v>197</v>
      </c>
      <c r="W32" s="112" t="s">
        <v>396</v>
      </c>
      <c r="X32" s="110" t="s">
        <v>199</v>
      </c>
      <c r="Y32" s="110" t="s">
        <v>207</v>
      </c>
      <c r="Z32" s="110" t="s">
        <v>131</v>
      </c>
      <c r="AA32" s="110" t="s">
        <v>200</v>
      </c>
      <c r="AB32" s="112" t="s">
        <v>396</v>
      </c>
      <c r="AC32" s="131"/>
      <c r="AD32" s="128" t="s">
        <v>344</v>
      </c>
    </row>
    <row r="33" spans="1:30" ht="35" customHeight="1" x14ac:dyDescent="0.2">
      <c r="A33" s="107">
        <v>8</v>
      </c>
      <c r="B33" s="107"/>
      <c r="C33" s="60"/>
      <c r="D33" s="60"/>
      <c r="E33" s="60"/>
      <c r="F33" s="60"/>
      <c r="G33" s="60"/>
      <c r="H33" s="60"/>
      <c r="I33" s="60"/>
      <c r="J33" s="60"/>
      <c r="K33" s="60"/>
      <c r="L33" s="60"/>
      <c r="T33" s="102" t="s">
        <v>238</v>
      </c>
      <c r="U33" s="102" t="s">
        <v>238</v>
      </c>
      <c r="V33" s="102" t="s">
        <v>238</v>
      </c>
      <c r="W33" s="102" t="s">
        <v>238</v>
      </c>
      <c r="X33" s="102" t="s">
        <v>238</v>
      </c>
      <c r="Y33" s="102" t="s">
        <v>238</v>
      </c>
      <c r="Z33" s="102" t="s">
        <v>238</v>
      </c>
      <c r="AA33" s="102" t="s">
        <v>238</v>
      </c>
      <c r="AB33" s="102" t="s">
        <v>238</v>
      </c>
      <c r="AC33" s="131"/>
      <c r="AD33" s="117" t="s">
        <v>341</v>
      </c>
    </row>
    <row r="34" spans="1:30" ht="35" customHeight="1" x14ac:dyDescent="0.2">
      <c r="A34" s="108">
        <v>830</v>
      </c>
      <c r="B34" s="107"/>
      <c r="C34" s="60"/>
      <c r="D34" s="60"/>
      <c r="E34" s="60"/>
      <c r="F34" s="60"/>
      <c r="G34" s="60"/>
      <c r="H34" s="60"/>
      <c r="I34" s="60"/>
      <c r="J34" s="60"/>
      <c r="K34" s="60"/>
      <c r="L34" s="60"/>
      <c r="AC34" s="60"/>
    </row>
    <row r="35" spans="1:30" ht="35" customHeight="1" x14ac:dyDescent="0.2">
      <c r="A35" s="107">
        <v>9</v>
      </c>
      <c r="B35" s="107"/>
      <c r="C35" s="60"/>
      <c r="D35" s="60"/>
      <c r="E35" s="60"/>
      <c r="F35" s="60"/>
      <c r="G35" s="60"/>
      <c r="H35" s="60"/>
      <c r="I35" s="60"/>
      <c r="J35" s="60"/>
      <c r="K35" s="60"/>
      <c r="L35" s="60"/>
      <c r="AC35" s="60"/>
      <c r="AD35" s="60"/>
    </row>
    <row r="36" spans="1:30" ht="35" customHeight="1" x14ac:dyDescent="0.2">
      <c r="A36" s="103">
        <v>930</v>
      </c>
      <c r="B36" s="52"/>
      <c r="C36" s="60"/>
      <c r="D36" s="60"/>
      <c r="E36" s="60"/>
      <c r="F36" s="60"/>
      <c r="G36" s="60"/>
      <c r="H36" s="60"/>
      <c r="I36" s="60"/>
      <c r="J36" s="60"/>
      <c r="K36" s="60"/>
      <c r="L36" s="60"/>
      <c r="AC36" s="60"/>
      <c r="AD36" s="60"/>
    </row>
    <row r="37" spans="1:30" ht="35" customHeight="1" x14ac:dyDescent="0.2">
      <c r="A37" s="52">
        <v>10</v>
      </c>
      <c r="B37" s="52"/>
      <c r="C37" s="60"/>
      <c r="D37" s="60"/>
      <c r="E37" s="60"/>
      <c r="F37" s="60"/>
      <c r="G37" s="60"/>
      <c r="H37" s="60"/>
      <c r="I37" s="60"/>
      <c r="J37" s="60"/>
      <c r="K37" s="60"/>
      <c r="L37" s="60"/>
      <c r="AC37" s="60"/>
      <c r="AD37" s="60"/>
    </row>
    <row r="38" spans="1:30" ht="35" customHeight="1" x14ac:dyDescent="0.2">
      <c r="A38" s="103">
        <v>1030</v>
      </c>
      <c r="B38" s="52"/>
      <c r="C38" s="60"/>
      <c r="D38" s="60"/>
      <c r="E38" s="60"/>
      <c r="F38" s="60"/>
      <c r="G38" s="60"/>
      <c r="H38" s="60"/>
      <c r="I38" s="60"/>
      <c r="J38" s="60"/>
      <c r="K38" s="60"/>
      <c r="L38" s="60"/>
      <c r="AC38" s="60"/>
      <c r="AD38" s="60"/>
    </row>
    <row r="39" spans="1:30" ht="35" customHeight="1" x14ac:dyDescent="0.2">
      <c r="A39" s="52">
        <v>11</v>
      </c>
      <c r="B39" s="52"/>
      <c r="C39" s="60"/>
      <c r="D39" s="60"/>
      <c r="E39" s="60"/>
      <c r="F39" s="60"/>
      <c r="G39" s="60"/>
      <c r="H39" s="60"/>
      <c r="I39" s="60"/>
      <c r="J39" s="60"/>
      <c r="K39" s="60"/>
      <c r="L39" s="60"/>
      <c r="AC39" s="60"/>
      <c r="AD39" s="60"/>
    </row>
    <row r="40" spans="1:30" ht="35" customHeight="1" x14ac:dyDescent="0.2">
      <c r="A40" s="103">
        <v>1130</v>
      </c>
      <c r="B40" s="52"/>
      <c r="C40" s="60"/>
      <c r="D40" s="60"/>
      <c r="E40" s="60"/>
      <c r="F40" s="60"/>
      <c r="G40" s="60"/>
      <c r="H40" s="60"/>
      <c r="I40" s="60"/>
      <c r="J40" s="60"/>
      <c r="K40" s="60"/>
      <c r="L40" s="60"/>
      <c r="AC40" s="60"/>
      <c r="AD40" s="60"/>
    </row>
    <row r="41" spans="1:30" ht="35" customHeight="1" x14ac:dyDescent="0.2">
      <c r="A41" s="52">
        <v>12</v>
      </c>
      <c r="B41" s="52"/>
      <c r="C41" s="60"/>
      <c r="D41" s="60"/>
      <c r="E41" s="60"/>
      <c r="F41" s="60"/>
      <c r="G41" s="60"/>
      <c r="H41" s="60"/>
      <c r="I41" s="60"/>
      <c r="J41" s="60"/>
      <c r="K41" s="60"/>
      <c r="L41" s="60"/>
      <c r="AC41" s="60"/>
      <c r="AD41" s="60"/>
    </row>
  </sheetData>
  <mergeCells count="15">
    <mergeCell ref="AE28:AJ28"/>
    <mergeCell ref="AE29:AJ29"/>
    <mergeCell ref="AE30:AJ30"/>
    <mergeCell ref="E8:E10"/>
    <mergeCell ref="W24:W26"/>
    <mergeCell ref="J8:J10"/>
    <mergeCell ref="N16:N18"/>
    <mergeCell ref="S16:S18"/>
    <mergeCell ref="AB24:AB26"/>
    <mergeCell ref="X1:AA1"/>
    <mergeCell ref="B1:D1"/>
    <mergeCell ref="F1:I1"/>
    <mergeCell ref="K1:M1"/>
    <mergeCell ref="O1:R1"/>
    <mergeCell ref="T1:V1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873B-A9F2-CF4E-9F3D-BE25E02CA169}">
  <dimension ref="A1:AK41"/>
  <sheetViews>
    <sheetView topLeftCell="G5" zoomScale="63" zoomScaleNormal="75" workbookViewId="0">
      <selection activeCell="Q11" sqref="Q11"/>
    </sheetView>
  </sheetViews>
  <sheetFormatPr baseColWidth="10" defaultColWidth="9.1640625" defaultRowHeight="35" customHeight="1" x14ac:dyDescent="0.2"/>
  <cols>
    <col min="1" max="11" width="9.1640625" style="104"/>
    <col min="12" max="12" width="9.33203125" style="104" customWidth="1"/>
    <col min="13" max="16384" width="9.1640625" style="104"/>
  </cols>
  <sheetData>
    <row r="1" spans="1:36" ht="65" customHeight="1" x14ac:dyDescent="0.2">
      <c r="B1" s="348" t="s">
        <v>214</v>
      </c>
      <c r="C1" s="348"/>
      <c r="D1" s="348"/>
      <c r="E1" s="105" t="s">
        <v>216</v>
      </c>
      <c r="F1" s="346" t="s">
        <v>213</v>
      </c>
      <c r="G1" s="347"/>
      <c r="H1" s="347"/>
      <c r="I1" s="347"/>
      <c r="J1" s="106"/>
      <c r="K1" s="348" t="s">
        <v>214</v>
      </c>
      <c r="L1" s="348"/>
      <c r="M1" s="348"/>
      <c r="N1" s="105" t="s">
        <v>216</v>
      </c>
      <c r="O1" s="346" t="s">
        <v>213</v>
      </c>
      <c r="P1" s="347"/>
      <c r="Q1" s="347"/>
      <c r="R1" s="347"/>
      <c r="S1" s="106"/>
      <c r="T1" s="348" t="s">
        <v>214</v>
      </c>
      <c r="U1" s="348"/>
      <c r="V1" s="348"/>
      <c r="W1" s="105" t="s">
        <v>216</v>
      </c>
      <c r="X1" s="346" t="s">
        <v>213</v>
      </c>
      <c r="Y1" s="347"/>
      <c r="Z1" s="347"/>
      <c r="AA1" s="347"/>
      <c r="AB1" s="106"/>
      <c r="AC1" s="135" t="s">
        <v>268</v>
      </c>
      <c r="AD1" s="135" t="s">
        <v>268</v>
      </c>
      <c r="AE1" s="134" t="s">
        <v>267</v>
      </c>
      <c r="AF1" s="134" t="s">
        <v>267</v>
      </c>
      <c r="AG1" s="134" t="s">
        <v>267</v>
      </c>
      <c r="AH1" s="134" t="s">
        <v>267</v>
      </c>
      <c r="AI1" s="134" t="s">
        <v>267</v>
      </c>
      <c r="AJ1" s="134" t="s">
        <v>267</v>
      </c>
    </row>
    <row r="2" spans="1:36" ht="35" customHeight="1" x14ac:dyDescent="0.2">
      <c r="A2" s="52" t="s">
        <v>54</v>
      </c>
      <c r="B2" s="102" t="s">
        <v>198</v>
      </c>
      <c r="C2" s="102" t="s">
        <v>201</v>
      </c>
      <c r="D2" s="102" t="s">
        <v>202</v>
      </c>
      <c r="E2" s="102" t="s">
        <v>208</v>
      </c>
      <c r="F2" s="102" t="s">
        <v>203</v>
      </c>
      <c r="G2" s="60" t="s">
        <v>204</v>
      </c>
      <c r="H2" s="60" t="s">
        <v>205</v>
      </c>
      <c r="I2" s="60" t="s">
        <v>206</v>
      </c>
      <c r="J2" s="60"/>
      <c r="K2" s="60" t="s">
        <v>220</v>
      </c>
      <c r="L2" s="60" t="s">
        <v>221</v>
      </c>
      <c r="M2" s="60" t="s">
        <v>222</v>
      </c>
      <c r="N2" s="60" t="s">
        <v>223</v>
      </c>
      <c r="O2" s="60" t="s">
        <v>224</v>
      </c>
      <c r="P2" s="60" t="s">
        <v>225</v>
      </c>
      <c r="Q2" s="60" t="s">
        <v>226</v>
      </c>
      <c r="R2" s="60" t="s">
        <v>227</v>
      </c>
      <c r="S2" s="60"/>
      <c r="T2" s="60" t="s">
        <v>228</v>
      </c>
      <c r="U2" s="60" t="s">
        <v>229</v>
      </c>
      <c r="V2" s="60" t="s">
        <v>230</v>
      </c>
      <c r="W2" s="60" t="s">
        <v>239</v>
      </c>
      <c r="X2" s="60" t="s">
        <v>240</v>
      </c>
      <c r="Y2" s="60" t="s">
        <v>241</v>
      </c>
      <c r="Z2" s="60" t="s">
        <v>242</v>
      </c>
      <c r="AA2" s="60" t="s">
        <v>243</v>
      </c>
      <c r="AB2" s="60"/>
      <c r="AC2" s="60"/>
      <c r="AD2" s="60"/>
      <c r="AE2" s="60"/>
      <c r="AF2" s="60"/>
    </row>
    <row r="3" spans="1:36" ht="35" customHeight="1" x14ac:dyDescent="0.2">
      <c r="A3" s="52">
        <v>5</v>
      </c>
      <c r="B3" s="52"/>
      <c r="C3" s="102"/>
      <c r="D3" s="102"/>
      <c r="E3" s="102"/>
      <c r="F3" s="102"/>
      <c r="G3" s="102"/>
      <c r="H3" s="60"/>
      <c r="I3" s="60"/>
      <c r="J3" s="60"/>
      <c r="K3" s="60"/>
      <c r="L3" s="60"/>
      <c r="AC3" s="60"/>
      <c r="AD3" s="60"/>
    </row>
    <row r="4" spans="1:36" ht="35" customHeight="1" x14ac:dyDescent="0.2">
      <c r="A4" s="52">
        <v>530</v>
      </c>
      <c r="B4" s="52"/>
      <c r="C4" s="102"/>
      <c r="D4" s="102"/>
      <c r="E4" s="102"/>
      <c r="F4" s="102"/>
      <c r="G4" s="102"/>
      <c r="H4" s="60"/>
      <c r="I4" s="60"/>
      <c r="J4" s="60"/>
      <c r="K4" s="60"/>
      <c r="L4" s="60"/>
      <c r="AC4" s="60"/>
      <c r="AD4" s="60"/>
    </row>
    <row r="5" spans="1:36" ht="35" customHeight="1" x14ac:dyDescent="0.2">
      <c r="A5" s="52">
        <v>6</v>
      </c>
      <c r="B5" s="52"/>
      <c r="C5" s="102"/>
      <c r="D5" s="102"/>
      <c r="E5" s="102"/>
      <c r="F5" s="102"/>
      <c r="G5" s="102"/>
      <c r="H5" s="60"/>
      <c r="I5" s="60"/>
      <c r="J5" s="60"/>
      <c r="K5" s="60"/>
      <c r="L5" s="60"/>
      <c r="AC5" s="60"/>
      <c r="AD5" s="60"/>
    </row>
    <row r="6" spans="1:36" ht="35" customHeight="1" x14ac:dyDescent="0.2">
      <c r="A6" s="52">
        <v>630</v>
      </c>
      <c r="B6" s="52"/>
      <c r="C6" s="102"/>
      <c r="D6" s="102"/>
      <c r="E6" s="102"/>
      <c r="F6" s="102"/>
      <c r="G6" s="102"/>
      <c r="H6" s="60"/>
      <c r="I6" s="60"/>
      <c r="J6" s="60"/>
      <c r="K6" s="60"/>
      <c r="L6" s="60"/>
      <c r="AC6" s="60"/>
      <c r="AD6" s="60"/>
    </row>
    <row r="7" spans="1:36" ht="35" customHeight="1" x14ac:dyDescent="0.2">
      <c r="A7" s="107">
        <v>7</v>
      </c>
      <c r="B7" s="107"/>
      <c r="H7" s="60"/>
      <c r="I7" s="60"/>
      <c r="J7" s="60"/>
      <c r="K7" s="60"/>
      <c r="L7" s="60"/>
      <c r="AC7" s="60"/>
      <c r="AD7" s="60"/>
    </row>
    <row r="8" spans="1:36" ht="35" customHeight="1" x14ac:dyDescent="0.2">
      <c r="A8" s="108">
        <v>730</v>
      </c>
      <c r="B8" s="109" t="s">
        <v>231</v>
      </c>
      <c r="C8" s="109" t="s">
        <v>233</v>
      </c>
      <c r="D8" s="109" t="s">
        <v>232</v>
      </c>
      <c r="E8" s="355" t="s">
        <v>216</v>
      </c>
      <c r="F8" s="110" t="s">
        <v>232</v>
      </c>
      <c r="G8" s="110" t="s">
        <v>232</v>
      </c>
      <c r="H8" s="110" t="s">
        <v>232</v>
      </c>
      <c r="I8" s="110" t="s">
        <v>232</v>
      </c>
      <c r="J8" s="355" t="s">
        <v>216</v>
      </c>
      <c r="K8" s="60"/>
      <c r="L8" s="60"/>
      <c r="AC8" s="129" t="s">
        <v>269</v>
      </c>
      <c r="AD8" s="130"/>
    </row>
    <row r="9" spans="1:36" ht="35" customHeight="1" x14ac:dyDescent="0.2">
      <c r="A9" s="107">
        <v>8</v>
      </c>
      <c r="B9" s="109" t="s">
        <v>211</v>
      </c>
      <c r="C9" s="109" t="s">
        <v>196</v>
      </c>
      <c r="D9" s="109" t="s">
        <v>197</v>
      </c>
      <c r="E9" s="355"/>
      <c r="F9" s="110" t="s">
        <v>207</v>
      </c>
      <c r="G9" s="110" t="s">
        <v>131</v>
      </c>
      <c r="H9" s="110" t="s">
        <v>200</v>
      </c>
      <c r="I9" s="110" t="s">
        <v>199</v>
      </c>
      <c r="J9" s="355"/>
      <c r="K9" s="60"/>
      <c r="L9" s="60"/>
      <c r="AC9" s="126" t="s">
        <v>270</v>
      </c>
      <c r="AD9" s="130"/>
    </row>
    <row r="10" spans="1:36" ht="35" customHeight="1" x14ac:dyDescent="0.2">
      <c r="A10" s="108">
        <v>830</v>
      </c>
      <c r="B10" s="109" t="s">
        <v>212</v>
      </c>
      <c r="C10" s="109" t="s">
        <v>196</v>
      </c>
      <c r="D10" s="109" t="s">
        <v>197</v>
      </c>
      <c r="E10" s="355"/>
      <c r="F10" s="110" t="s">
        <v>207</v>
      </c>
      <c r="G10" s="110" t="s">
        <v>131</v>
      </c>
      <c r="H10" s="110" t="s">
        <v>200</v>
      </c>
      <c r="I10" s="110" t="s">
        <v>199</v>
      </c>
      <c r="J10" s="355"/>
      <c r="K10" s="60"/>
      <c r="L10" s="60"/>
      <c r="AC10" s="126" t="s">
        <v>270</v>
      </c>
      <c r="AD10" s="130"/>
    </row>
    <row r="11" spans="1:36" ht="35" customHeight="1" x14ac:dyDescent="0.2">
      <c r="A11" s="107">
        <v>9</v>
      </c>
      <c r="B11" s="109" t="s">
        <v>196</v>
      </c>
      <c r="C11" s="109" t="s">
        <v>197</v>
      </c>
      <c r="D11" s="111" t="s">
        <v>218</v>
      </c>
      <c r="E11" s="112" t="s">
        <v>217</v>
      </c>
      <c r="F11" s="110" t="s">
        <v>131</v>
      </c>
      <c r="G11" s="110" t="s">
        <v>200</v>
      </c>
      <c r="H11" s="110" t="s">
        <v>199</v>
      </c>
      <c r="I11" s="113" t="s">
        <v>219</v>
      </c>
      <c r="J11" s="112" t="s">
        <v>217</v>
      </c>
      <c r="K11" s="60"/>
      <c r="L11" s="60"/>
      <c r="AC11" s="138" t="s">
        <v>342</v>
      </c>
      <c r="AD11" s="132"/>
    </row>
    <row r="12" spans="1:36" ht="35" customHeight="1" x14ac:dyDescent="0.2">
      <c r="A12" s="108">
        <v>930</v>
      </c>
      <c r="B12" s="109" t="s">
        <v>196</v>
      </c>
      <c r="C12" s="109" t="s">
        <v>197</v>
      </c>
      <c r="D12" s="109" t="s">
        <v>212</v>
      </c>
      <c r="E12" s="112" t="s">
        <v>216</v>
      </c>
      <c r="F12" s="110" t="s">
        <v>131</v>
      </c>
      <c r="G12" s="110" t="s">
        <v>200</v>
      </c>
      <c r="H12" s="110" t="s">
        <v>199</v>
      </c>
      <c r="I12" s="110" t="s">
        <v>207</v>
      </c>
      <c r="J12" s="112" t="s">
        <v>216</v>
      </c>
      <c r="K12" s="60"/>
      <c r="L12" s="60"/>
      <c r="AC12" s="126" t="s">
        <v>270</v>
      </c>
      <c r="AD12" s="130"/>
    </row>
    <row r="13" spans="1:36" ht="35" customHeight="1" x14ac:dyDescent="0.2">
      <c r="A13" s="107">
        <v>10</v>
      </c>
      <c r="B13" s="109" t="s">
        <v>197</v>
      </c>
      <c r="C13" s="111" t="s">
        <v>218</v>
      </c>
      <c r="D13" s="109" t="s">
        <v>196</v>
      </c>
      <c r="E13" s="112" t="s">
        <v>217</v>
      </c>
      <c r="F13" s="110" t="s">
        <v>200</v>
      </c>
      <c r="G13" s="110" t="s">
        <v>199</v>
      </c>
      <c r="H13" s="113" t="s">
        <v>219</v>
      </c>
      <c r="I13" s="110" t="s">
        <v>131</v>
      </c>
      <c r="J13" s="112" t="s">
        <v>217</v>
      </c>
      <c r="K13" s="60"/>
      <c r="L13" s="60"/>
      <c r="AC13" s="126" t="s">
        <v>270</v>
      </c>
      <c r="AD13" s="130"/>
    </row>
    <row r="14" spans="1:36" ht="35" customHeight="1" x14ac:dyDescent="0.2">
      <c r="A14" s="108">
        <v>1030</v>
      </c>
      <c r="B14" s="109" t="s">
        <v>197</v>
      </c>
      <c r="C14" s="109" t="s">
        <v>212</v>
      </c>
      <c r="D14" s="109" t="s">
        <v>196</v>
      </c>
      <c r="E14" s="112" t="s">
        <v>216</v>
      </c>
      <c r="F14" s="110" t="s">
        <v>200</v>
      </c>
      <c r="G14" s="110" t="s">
        <v>199</v>
      </c>
      <c r="H14" s="110" t="s">
        <v>207</v>
      </c>
      <c r="I14" s="110" t="s">
        <v>131</v>
      </c>
      <c r="J14" s="112" t="s">
        <v>216</v>
      </c>
      <c r="K14" s="60"/>
      <c r="L14" s="60"/>
      <c r="AC14" s="126" t="s">
        <v>270</v>
      </c>
      <c r="AD14" s="130"/>
    </row>
    <row r="15" spans="1:36" ht="35" customHeight="1" x14ac:dyDescent="0.2">
      <c r="A15" s="107">
        <v>11</v>
      </c>
      <c r="B15" s="111" t="s">
        <v>218</v>
      </c>
      <c r="C15" s="109" t="s">
        <v>196</v>
      </c>
      <c r="D15" s="109" t="s">
        <v>197</v>
      </c>
      <c r="E15" s="112" t="s">
        <v>217</v>
      </c>
      <c r="F15" s="110" t="s">
        <v>199</v>
      </c>
      <c r="G15" s="113" t="s">
        <v>219</v>
      </c>
      <c r="H15" s="110" t="s">
        <v>131</v>
      </c>
      <c r="I15" s="110" t="s">
        <v>200</v>
      </c>
      <c r="J15" s="112" t="s">
        <v>217</v>
      </c>
      <c r="K15" s="60"/>
      <c r="L15" s="60"/>
      <c r="AC15" s="138" t="s">
        <v>343</v>
      </c>
      <c r="AD15" s="130"/>
    </row>
    <row r="16" spans="1:36" ht="35" customHeight="1" x14ac:dyDescent="0.2">
      <c r="A16" s="108">
        <v>1130</v>
      </c>
      <c r="B16" s="109" t="s">
        <v>212</v>
      </c>
      <c r="C16" s="109" t="s">
        <v>196</v>
      </c>
      <c r="D16" s="109" t="s">
        <v>197</v>
      </c>
      <c r="E16" s="112" t="s">
        <v>396</v>
      </c>
      <c r="F16" s="110" t="s">
        <v>199</v>
      </c>
      <c r="G16" s="110" t="s">
        <v>207</v>
      </c>
      <c r="H16" s="110" t="s">
        <v>131</v>
      </c>
      <c r="I16" s="110" t="s">
        <v>200</v>
      </c>
      <c r="J16" s="112" t="s">
        <v>396</v>
      </c>
      <c r="K16" s="109" t="s">
        <v>235</v>
      </c>
      <c r="L16" s="109" t="s">
        <v>236</v>
      </c>
      <c r="M16" s="109" t="s">
        <v>235</v>
      </c>
      <c r="N16" s="355" t="s">
        <v>216</v>
      </c>
      <c r="O16" s="110" t="s">
        <v>235</v>
      </c>
      <c r="P16" s="110" t="s">
        <v>235</v>
      </c>
      <c r="Q16" s="110" t="s">
        <v>235</v>
      </c>
      <c r="R16" s="110" t="s">
        <v>235</v>
      </c>
      <c r="S16" s="355" t="s">
        <v>216</v>
      </c>
      <c r="AC16" s="126" t="s">
        <v>270</v>
      </c>
      <c r="AD16" s="130"/>
    </row>
    <row r="17" spans="1:37" ht="35" customHeight="1" x14ac:dyDescent="0.2">
      <c r="A17" s="107">
        <v>12</v>
      </c>
      <c r="B17" s="102" t="s">
        <v>215</v>
      </c>
      <c r="C17" s="102" t="s">
        <v>215</v>
      </c>
      <c r="D17" s="102" t="s">
        <v>215</v>
      </c>
      <c r="E17" s="102" t="s">
        <v>215</v>
      </c>
      <c r="F17" s="102" t="s">
        <v>215</v>
      </c>
      <c r="G17" s="102" t="s">
        <v>215</v>
      </c>
      <c r="H17" s="138" t="s">
        <v>244</v>
      </c>
      <c r="I17" s="138" t="s">
        <v>244</v>
      </c>
      <c r="J17" s="102"/>
      <c r="K17" s="109" t="s">
        <v>211</v>
      </c>
      <c r="L17" s="109" t="s">
        <v>196</v>
      </c>
      <c r="M17" s="109" t="s">
        <v>197</v>
      </c>
      <c r="N17" s="355"/>
      <c r="O17" s="110" t="s">
        <v>207</v>
      </c>
      <c r="P17" s="110" t="s">
        <v>131</v>
      </c>
      <c r="Q17" s="110" t="s">
        <v>200</v>
      </c>
      <c r="R17" s="110" t="s">
        <v>199</v>
      </c>
      <c r="S17" s="355"/>
      <c r="AC17" s="126" t="s">
        <v>270</v>
      </c>
      <c r="AD17" s="130"/>
    </row>
    <row r="18" spans="1:37" ht="35" customHeight="1" x14ac:dyDescent="0.2">
      <c r="A18" s="108">
        <v>1230</v>
      </c>
      <c r="B18" s="107"/>
      <c r="C18" s="102"/>
      <c r="D18" s="102"/>
      <c r="E18" s="102"/>
      <c r="F18" s="102"/>
      <c r="G18" s="102"/>
      <c r="H18" s="189" t="s">
        <v>129</v>
      </c>
      <c r="I18" s="189" t="s">
        <v>129</v>
      </c>
      <c r="J18" s="102"/>
      <c r="K18" s="109" t="s">
        <v>212</v>
      </c>
      <c r="L18" s="109" t="s">
        <v>196</v>
      </c>
      <c r="M18" s="109" t="s">
        <v>197</v>
      </c>
      <c r="N18" s="355"/>
      <c r="O18" s="110" t="s">
        <v>207</v>
      </c>
      <c r="P18" s="110" t="s">
        <v>131</v>
      </c>
      <c r="Q18" s="110" t="s">
        <v>200</v>
      </c>
      <c r="R18" s="110" t="s">
        <v>199</v>
      </c>
      <c r="S18" s="355"/>
      <c r="AC18" s="126" t="s">
        <v>270</v>
      </c>
      <c r="AD18" s="130"/>
    </row>
    <row r="19" spans="1:37" ht="35" customHeight="1" x14ac:dyDescent="0.2">
      <c r="A19" s="107">
        <v>1</v>
      </c>
      <c r="B19" s="107"/>
      <c r="C19" s="102"/>
      <c r="D19" s="102"/>
      <c r="E19" s="102"/>
      <c r="F19" s="102"/>
      <c r="G19" s="102"/>
      <c r="H19" s="112" t="s">
        <v>331</v>
      </c>
      <c r="I19" s="112" t="s">
        <v>331</v>
      </c>
      <c r="J19" s="102"/>
      <c r="K19" s="109" t="s">
        <v>196</v>
      </c>
      <c r="L19" s="109" t="s">
        <v>197</v>
      </c>
      <c r="M19" s="111" t="s">
        <v>218</v>
      </c>
      <c r="N19" s="112" t="s">
        <v>217</v>
      </c>
      <c r="O19" s="110" t="s">
        <v>131</v>
      </c>
      <c r="P19" s="110" t="s">
        <v>200</v>
      </c>
      <c r="Q19" s="110" t="s">
        <v>199</v>
      </c>
      <c r="R19" s="113" t="s">
        <v>219</v>
      </c>
      <c r="S19" s="112" t="s">
        <v>217</v>
      </c>
      <c r="AC19" s="126" t="s">
        <v>270</v>
      </c>
      <c r="AD19" s="130"/>
    </row>
    <row r="20" spans="1:37" ht="35" customHeight="1" x14ac:dyDescent="0.2">
      <c r="A20" s="108">
        <v>130</v>
      </c>
      <c r="B20" s="107"/>
      <c r="C20" s="102"/>
      <c r="D20" s="102"/>
      <c r="E20" s="102"/>
      <c r="F20" s="102"/>
      <c r="G20" s="102"/>
      <c r="H20" s="112" t="s">
        <v>331</v>
      </c>
      <c r="I20" s="112" t="s">
        <v>331</v>
      </c>
      <c r="J20" s="102"/>
      <c r="K20" s="109" t="s">
        <v>196</v>
      </c>
      <c r="L20" s="109" t="s">
        <v>197</v>
      </c>
      <c r="M20" s="109" t="s">
        <v>212</v>
      </c>
      <c r="N20" s="112" t="s">
        <v>216</v>
      </c>
      <c r="O20" s="110" t="s">
        <v>131</v>
      </c>
      <c r="P20" s="110" t="s">
        <v>200</v>
      </c>
      <c r="Q20" s="110" t="s">
        <v>199</v>
      </c>
      <c r="R20" s="110" t="s">
        <v>207</v>
      </c>
      <c r="S20" s="112" t="s">
        <v>216</v>
      </c>
      <c r="AC20" s="191" t="s">
        <v>274</v>
      </c>
      <c r="AD20" s="126" t="s">
        <v>266</v>
      </c>
    </row>
    <row r="21" spans="1:37" ht="35" customHeight="1" x14ac:dyDescent="0.2">
      <c r="A21" s="107">
        <v>2</v>
      </c>
      <c r="B21" s="107"/>
      <c r="C21" s="102"/>
      <c r="D21" s="102"/>
      <c r="E21" s="102"/>
      <c r="F21" s="102"/>
      <c r="G21" s="102"/>
      <c r="H21" s="102"/>
      <c r="I21" s="102"/>
      <c r="J21" s="102"/>
      <c r="K21" s="109" t="s">
        <v>197</v>
      </c>
      <c r="L21" s="111" t="s">
        <v>218</v>
      </c>
      <c r="M21" s="109" t="s">
        <v>196</v>
      </c>
      <c r="N21" s="112" t="s">
        <v>217</v>
      </c>
      <c r="O21" s="110" t="s">
        <v>200</v>
      </c>
      <c r="P21" s="110" t="s">
        <v>199</v>
      </c>
      <c r="Q21" s="113" t="s">
        <v>219</v>
      </c>
      <c r="R21" s="110" t="s">
        <v>131</v>
      </c>
      <c r="S21" s="112" t="s">
        <v>217</v>
      </c>
      <c r="AC21" s="102"/>
      <c r="AD21" s="126" t="s">
        <v>270</v>
      </c>
      <c r="AE21" s="143" t="s">
        <v>404</v>
      </c>
      <c r="AF21" s="143" t="s">
        <v>404</v>
      </c>
      <c r="AG21" s="143" t="s">
        <v>404</v>
      </c>
      <c r="AH21" s="143" t="s">
        <v>404</v>
      </c>
      <c r="AI21" s="143" t="s">
        <v>404</v>
      </c>
      <c r="AJ21" s="143" t="s">
        <v>404</v>
      </c>
    </row>
    <row r="22" spans="1:37" ht="35" customHeight="1" x14ac:dyDescent="0.2">
      <c r="A22" s="108">
        <v>230</v>
      </c>
      <c r="B22" s="107"/>
      <c r="C22" s="102"/>
      <c r="D22" s="102"/>
      <c r="E22" s="102"/>
      <c r="F22" s="102"/>
      <c r="G22" s="102"/>
      <c r="H22" s="102"/>
      <c r="I22" s="102"/>
      <c r="J22" s="102"/>
      <c r="K22" s="109" t="s">
        <v>197</v>
      </c>
      <c r="L22" s="109" t="s">
        <v>212</v>
      </c>
      <c r="M22" s="109" t="s">
        <v>196</v>
      </c>
      <c r="N22" s="112" t="s">
        <v>216</v>
      </c>
      <c r="O22" s="110" t="s">
        <v>200</v>
      </c>
      <c r="P22" s="110" t="s">
        <v>199</v>
      </c>
      <c r="Q22" s="110" t="s">
        <v>207</v>
      </c>
      <c r="R22" s="110" t="s">
        <v>131</v>
      </c>
      <c r="S22" s="112" t="s">
        <v>216</v>
      </c>
      <c r="AC22" s="130"/>
      <c r="AD22" s="126" t="s">
        <v>270</v>
      </c>
      <c r="AE22" s="349" t="s">
        <v>405</v>
      </c>
      <c r="AF22" s="350"/>
      <c r="AG22" s="350"/>
      <c r="AH22" s="350"/>
      <c r="AI22" s="350"/>
      <c r="AJ22" s="351"/>
    </row>
    <row r="23" spans="1:37" ht="35" customHeight="1" x14ac:dyDescent="0.2">
      <c r="A23" s="107">
        <v>3</v>
      </c>
      <c r="B23" s="107"/>
      <c r="C23" s="102"/>
      <c r="D23" s="102"/>
      <c r="E23" s="102"/>
      <c r="F23" s="102"/>
      <c r="G23" s="102"/>
      <c r="H23" s="102"/>
      <c r="I23" s="102"/>
      <c r="J23" s="102"/>
      <c r="K23" s="111" t="s">
        <v>218</v>
      </c>
      <c r="L23" s="109" t="s">
        <v>196</v>
      </c>
      <c r="M23" s="109" t="s">
        <v>197</v>
      </c>
      <c r="N23" s="112" t="s">
        <v>217</v>
      </c>
      <c r="O23" s="110" t="s">
        <v>199</v>
      </c>
      <c r="P23" s="113" t="s">
        <v>219</v>
      </c>
      <c r="Q23" s="110" t="s">
        <v>131</v>
      </c>
      <c r="R23" s="110" t="s">
        <v>200</v>
      </c>
      <c r="S23" s="112" t="s">
        <v>217</v>
      </c>
      <c r="AC23" s="130"/>
      <c r="AD23" s="138" t="s">
        <v>342</v>
      </c>
      <c r="AE23" s="352" t="s">
        <v>406</v>
      </c>
      <c r="AF23" s="353"/>
      <c r="AG23" s="353"/>
      <c r="AH23" s="353"/>
      <c r="AI23" s="353"/>
      <c r="AJ23" s="354"/>
    </row>
    <row r="24" spans="1:37" ht="35" customHeight="1" x14ac:dyDescent="0.2">
      <c r="A24" s="114">
        <v>0.14583333333333334</v>
      </c>
      <c r="B24" s="115"/>
      <c r="C24" s="102"/>
      <c r="D24" s="102"/>
      <c r="E24" s="102"/>
      <c r="F24" s="102"/>
      <c r="G24" s="102"/>
      <c r="H24" s="102"/>
      <c r="I24" s="102"/>
      <c r="J24" s="102"/>
      <c r="K24" s="109" t="s">
        <v>212</v>
      </c>
      <c r="L24" s="109" t="s">
        <v>196</v>
      </c>
      <c r="M24" s="109" t="s">
        <v>197</v>
      </c>
      <c r="N24" s="112" t="s">
        <v>396</v>
      </c>
      <c r="O24" s="110" t="s">
        <v>199</v>
      </c>
      <c r="P24" s="110" t="s">
        <v>207</v>
      </c>
      <c r="Q24" s="110" t="s">
        <v>131</v>
      </c>
      <c r="R24" s="110" t="s">
        <v>200</v>
      </c>
      <c r="S24" s="112" t="s">
        <v>396</v>
      </c>
      <c r="T24" s="109" t="s">
        <v>237</v>
      </c>
      <c r="U24" s="109" t="s">
        <v>210</v>
      </c>
      <c r="V24" s="109" t="s">
        <v>237</v>
      </c>
      <c r="W24" s="355" t="s">
        <v>216</v>
      </c>
      <c r="X24" s="110" t="s">
        <v>237</v>
      </c>
      <c r="Y24" s="110" t="s">
        <v>237</v>
      </c>
      <c r="Z24" s="110" t="s">
        <v>237</v>
      </c>
      <c r="AA24" s="110" t="s">
        <v>237</v>
      </c>
      <c r="AB24" s="355" t="s">
        <v>216</v>
      </c>
      <c r="AC24" s="130"/>
      <c r="AD24" s="136">
        <v>330</v>
      </c>
      <c r="AE24" s="352" t="s">
        <v>406</v>
      </c>
      <c r="AF24" s="353"/>
      <c r="AG24" s="353"/>
      <c r="AH24" s="353"/>
      <c r="AI24" s="353"/>
      <c r="AJ24" s="354"/>
      <c r="AK24" s="102"/>
    </row>
    <row r="25" spans="1:37" ht="35" customHeight="1" x14ac:dyDescent="0.2">
      <c r="A25" s="107">
        <v>4</v>
      </c>
      <c r="B25" s="107"/>
      <c r="C25" s="60"/>
      <c r="D25" s="102"/>
      <c r="E25" s="102"/>
      <c r="F25" s="102"/>
      <c r="G25" s="102"/>
      <c r="H25" s="102"/>
      <c r="I25" s="102"/>
      <c r="J25" s="102"/>
      <c r="K25" s="102" t="s">
        <v>234</v>
      </c>
      <c r="L25" s="102" t="s">
        <v>234</v>
      </c>
      <c r="M25" s="102" t="s">
        <v>234</v>
      </c>
      <c r="N25" s="102" t="s">
        <v>234</v>
      </c>
      <c r="O25" s="102" t="s">
        <v>234</v>
      </c>
      <c r="P25" s="102" t="s">
        <v>234</v>
      </c>
      <c r="Q25" s="102" t="s">
        <v>234</v>
      </c>
      <c r="R25" s="102" t="s">
        <v>234</v>
      </c>
      <c r="S25" s="102" t="s">
        <v>234</v>
      </c>
      <c r="T25" s="109" t="s">
        <v>211</v>
      </c>
      <c r="U25" s="109" t="s">
        <v>196</v>
      </c>
      <c r="V25" s="109" t="s">
        <v>197</v>
      </c>
      <c r="W25" s="355"/>
      <c r="X25" s="110" t="s">
        <v>207</v>
      </c>
      <c r="Y25" s="110" t="s">
        <v>131</v>
      </c>
      <c r="Z25" s="110" t="s">
        <v>200</v>
      </c>
      <c r="AA25" s="110" t="s">
        <v>199</v>
      </c>
      <c r="AB25" s="355"/>
      <c r="AC25" s="130"/>
      <c r="AD25" s="136">
        <v>4</v>
      </c>
      <c r="AE25" s="270" t="s">
        <v>450</v>
      </c>
      <c r="AF25" s="270" t="s">
        <v>450</v>
      </c>
      <c r="AG25" s="270" t="s">
        <v>450</v>
      </c>
      <c r="AH25" s="270" t="s">
        <v>450</v>
      </c>
      <c r="AI25" s="270" t="s">
        <v>450</v>
      </c>
      <c r="AJ25" s="270" t="s">
        <v>450</v>
      </c>
      <c r="AK25" s="137"/>
    </row>
    <row r="26" spans="1:37" ht="35" customHeight="1" x14ac:dyDescent="0.2">
      <c r="A26" s="114">
        <v>0.1875</v>
      </c>
      <c r="B26" s="115"/>
      <c r="C26" s="60"/>
      <c r="D26" s="102"/>
      <c r="E26" s="102"/>
      <c r="F26" s="102"/>
      <c r="G26" s="102"/>
      <c r="H26" s="102"/>
      <c r="I26" s="102"/>
      <c r="J26" s="102"/>
      <c r="K26" s="60"/>
      <c r="L26" s="60"/>
      <c r="T26" s="109" t="s">
        <v>212</v>
      </c>
      <c r="U26" s="109" t="s">
        <v>196</v>
      </c>
      <c r="V26" s="109" t="s">
        <v>197</v>
      </c>
      <c r="W26" s="355"/>
      <c r="X26" s="110" t="s">
        <v>207</v>
      </c>
      <c r="Y26" s="110" t="s">
        <v>131</v>
      </c>
      <c r="Z26" s="110" t="s">
        <v>200</v>
      </c>
      <c r="AA26" s="110" t="s">
        <v>199</v>
      </c>
      <c r="AB26" s="355"/>
      <c r="AC26" s="130"/>
      <c r="AD26" s="136">
        <v>5</v>
      </c>
      <c r="AE26" s="349" t="s">
        <v>405</v>
      </c>
      <c r="AF26" s="350"/>
      <c r="AG26" s="350"/>
      <c r="AH26" s="350"/>
      <c r="AI26" s="350"/>
      <c r="AJ26" s="351"/>
      <c r="AK26" s="137"/>
    </row>
    <row r="27" spans="1:37" ht="35" customHeight="1" x14ac:dyDescent="0.2">
      <c r="A27" s="107">
        <v>5</v>
      </c>
      <c r="B27" s="107"/>
      <c r="C27" s="60"/>
      <c r="D27" s="102"/>
      <c r="E27" s="102"/>
      <c r="F27" s="102"/>
      <c r="G27" s="102"/>
      <c r="H27" s="102"/>
      <c r="I27" s="102"/>
      <c r="J27" s="102"/>
      <c r="K27" s="60"/>
      <c r="L27" s="60"/>
      <c r="T27" s="109" t="s">
        <v>196</v>
      </c>
      <c r="U27" s="109" t="s">
        <v>197</v>
      </c>
      <c r="V27" s="111" t="s">
        <v>218</v>
      </c>
      <c r="W27" s="112" t="s">
        <v>217</v>
      </c>
      <c r="X27" s="110" t="s">
        <v>131</v>
      </c>
      <c r="Y27" s="110" t="s">
        <v>200</v>
      </c>
      <c r="Z27" s="110" t="s">
        <v>199</v>
      </c>
      <c r="AA27" s="113" t="s">
        <v>219</v>
      </c>
      <c r="AB27" s="112" t="s">
        <v>217</v>
      </c>
      <c r="AC27" s="130"/>
      <c r="AD27" s="138" t="s">
        <v>343</v>
      </c>
      <c r="AE27" s="352" t="s">
        <v>406</v>
      </c>
      <c r="AF27" s="353"/>
      <c r="AG27" s="353"/>
      <c r="AH27" s="353"/>
      <c r="AI27" s="353"/>
      <c r="AJ27" s="354"/>
      <c r="AK27" s="137"/>
    </row>
    <row r="28" spans="1:37" ht="35" customHeight="1" x14ac:dyDescent="0.2">
      <c r="A28" s="108">
        <v>530</v>
      </c>
      <c r="B28" s="107"/>
      <c r="C28" s="60"/>
      <c r="D28" s="102"/>
      <c r="E28" s="102"/>
      <c r="F28" s="102"/>
      <c r="G28" s="102"/>
      <c r="H28" s="102"/>
      <c r="I28" s="102"/>
      <c r="J28" s="102"/>
      <c r="K28" s="60"/>
      <c r="L28" s="60"/>
      <c r="T28" s="109" t="s">
        <v>196</v>
      </c>
      <c r="U28" s="109" t="s">
        <v>197</v>
      </c>
      <c r="V28" s="109" t="s">
        <v>212</v>
      </c>
      <c r="W28" s="112" t="s">
        <v>216</v>
      </c>
      <c r="X28" s="110" t="s">
        <v>131</v>
      </c>
      <c r="Y28" s="110" t="s">
        <v>200</v>
      </c>
      <c r="Z28" s="110" t="s">
        <v>199</v>
      </c>
      <c r="AA28" s="110" t="s">
        <v>207</v>
      </c>
      <c r="AB28" s="112" t="s">
        <v>216</v>
      </c>
      <c r="AC28" s="137"/>
      <c r="AD28" s="136">
        <v>530</v>
      </c>
      <c r="AE28" s="352" t="s">
        <v>406</v>
      </c>
      <c r="AF28" s="353"/>
      <c r="AG28" s="353"/>
      <c r="AH28" s="353"/>
      <c r="AI28" s="353"/>
      <c r="AJ28" s="354"/>
      <c r="AK28" s="137"/>
    </row>
    <row r="29" spans="1:37" ht="35" customHeight="1" x14ac:dyDescent="0.2">
      <c r="A29" s="107">
        <v>6</v>
      </c>
      <c r="B29" s="107"/>
      <c r="C29" s="60"/>
      <c r="D29" s="102"/>
      <c r="E29" s="102"/>
      <c r="F29" s="102"/>
      <c r="G29" s="102"/>
      <c r="H29" s="102"/>
      <c r="I29" s="102"/>
      <c r="J29" s="102"/>
      <c r="K29" s="60"/>
      <c r="L29" s="60"/>
      <c r="T29" s="109" t="s">
        <v>197</v>
      </c>
      <c r="U29" s="111" t="s">
        <v>218</v>
      </c>
      <c r="V29" s="109" t="s">
        <v>196</v>
      </c>
      <c r="W29" s="112" t="s">
        <v>217</v>
      </c>
      <c r="X29" s="110" t="s">
        <v>200</v>
      </c>
      <c r="Y29" s="110" t="s">
        <v>199</v>
      </c>
      <c r="Z29" s="113" t="s">
        <v>219</v>
      </c>
      <c r="AA29" s="110" t="s">
        <v>131</v>
      </c>
      <c r="AB29" s="112" t="s">
        <v>217</v>
      </c>
      <c r="AC29" s="137"/>
      <c r="AD29" s="136">
        <v>6</v>
      </c>
      <c r="AE29" s="60" t="s">
        <v>318</v>
      </c>
      <c r="AF29" s="60" t="s">
        <v>318</v>
      </c>
      <c r="AG29" s="60" t="s">
        <v>318</v>
      </c>
      <c r="AH29" s="60" t="s">
        <v>318</v>
      </c>
      <c r="AI29" s="60" t="s">
        <v>318</v>
      </c>
      <c r="AJ29" s="60" t="s">
        <v>318</v>
      </c>
      <c r="AK29" s="137"/>
    </row>
    <row r="30" spans="1:37" ht="35" customHeight="1" x14ac:dyDescent="0.2">
      <c r="A30" s="108">
        <v>630</v>
      </c>
      <c r="B30" s="107"/>
      <c r="C30" s="60"/>
      <c r="D30" s="102"/>
      <c r="E30" s="102"/>
      <c r="F30" s="102"/>
      <c r="G30" s="102"/>
      <c r="H30" s="102"/>
      <c r="I30" s="102"/>
      <c r="J30" s="102"/>
      <c r="K30" s="60"/>
      <c r="L30" s="60"/>
      <c r="T30" s="109" t="s">
        <v>197</v>
      </c>
      <c r="U30" s="109" t="s">
        <v>212</v>
      </c>
      <c r="V30" s="109" t="s">
        <v>196</v>
      </c>
      <c r="W30" s="112" t="s">
        <v>216</v>
      </c>
      <c r="X30" s="110" t="s">
        <v>200</v>
      </c>
      <c r="Y30" s="110" t="s">
        <v>199</v>
      </c>
      <c r="Z30" s="110" t="s">
        <v>207</v>
      </c>
      <c r="AA30" s="110" t="s">
        <v>131</v>
      </c>
      <c r="AB30" s="112" t="s">
        <v>216</v>
      </c>
      <c r="AC30" s="137"/>
      <c r="AD30" s="128">
        <v>7</v>
      </c>
      <c r="AE30" s="60"/>
      <c r="AF30" s="60"/>
      <c r="AG30" s="60"/>
      <c r="AH30" s="60"/>
      <c r="AI30" s="60"/>
      <c r="AJ30" s="60"/>
      <c r="AK30" s="137"/>
    </row>
    <row r="31" spans="1:37" ht="35" customHeight="1" x14ac:dyDescent="0.2">
      <c r="A31" s="107">
        <v>7</v>
      </c>
      <c r="B31" s="107"/>
      <c r="C31" s="60"/>
      <c r="D31" s="60"/>
      <c r="E31" s="60"/>
      <c r="F31" s="60"/>
      <c r="G31" s="60"/>
      <c r="H31" s="60"/>
      <c r="I31" s="60"/>
      <c r="J31" s="60"/>
      <c r="K31" s="60"/>
      <c r="L31" s="60"/>
      <c r="T31" s="111" t="s">
        <v>218</v>
      </c>
      <c r="U31" s="109" t="s">
        <v>196</v>
      </c>
      <c r="V31" s="109" t="s">
        <v>197</v>
      </c>
      <c r="W31" s="112" t="s">
        <v>217</v>
      </c>
      <c r="X31" s="110" t="s">
        <v>199</v>
      </c>
      <c r="Y31" s="113" t="s">
        <v>219</v>
      </c>
      <c r="Z31" s="110" t="s">
        <v>131</v>
      </c>
      <c r="AA31" s="110" t="s">
        <v>200</v>
      </c>
      <c r="AB31" s="112" t="s">
        <v>217</v>
      </c>
      <c r="AC31" s="60"/>
      <c r="AD31" s="128" t="s">
        <v>344</v>
      </c>
      <c r="AE31" s="60"/>
      <c r="AF31" s="60"/>
      <c r="AG31" s="60"/>
      <c r="AH31" s="60"/>
      <c r="AI31" s="60"/>
      <c r="AJ31" s="60"/>
      <c r="AK31" s="60"/>
    </row>
    <row r="32" spans="1:37" ht="35" customHeight="1" x14ac:dyDescent="0.2">
      <c r="A32" s="108">
        <v>730</v>
      </c>
      <c r="B32" s="107"/>
      <c r="C32" s="60"/>
      <c r="K32" s="60"/>
      <c r="L32" s="60"/>
      <c r="T32" s="109" t="s">
        <v>212</v>
      </c>
      <c r="U32" s="109" t="s">
        <v>196</v>
      </c>
      <c r="V32" s="109" t="s">
        <v>197</v>
      </c>
      <c r="W32" s="112" t="s">
        <v>396</v>
      </c>
      <c r="X32" s="110" t="s">
        <v>199</v>
      </c>
      <c r="Y32" s="110" t="s">
        <v>207</v>
      </c>
      <c r="Z32" s="110" t="s">
        <v>131</v>
      </c>
      <c r="AA32" s="110" t="s">
        <v>200</v>
      </c>
      <c r="AB32" s="112" t="s">
        <v>396</v>
      </c>
      <c r="AC32" s="131"/>
      <c r="AD32" s="128" t="s">
        <v>344</v>
      </c>
    </row>
    <row r="33" spans="1:30" ht="35" customHeight="1" x14ac:dyDescent="0.2">
      <c r="A33" s="107">
        <v>8</v>
      </c>
      <c r="B33" s="107"/>
      <c r="C33" s="60"/>
      <c r="D33" s="60"/>
      <c r="E33" s="60"/>
      <c r="F33" s="60"/>
      <c r="G33" s="60"/>
      <c r="H33" s="60"/>
      <c r="I33" s="60"/>
      <c r="J33" s="60"/>
      <c r="K33" s="60"/>
      <c r="L33" s="60"/>
      <c r="T33" s="102" t="s">
        <v>238</v>
      </c>
      <c r="U33" s="102" t="s">
        <v>238</v>
      </c>
      <c r="V33" s="102" t="s">
        <v>238</v>
      </c>
      <c r="W33" s="102" t="s">
        <v>238</v>
      </c>
      <c r="X33" s="102" t="s">
        <v>238</v>
      </c>
      <c r="Y33" s="102" t="s">
        <v>238</v>
      </c>
      <c r="Z33" s="102" t="s">
        <v>238</v>
      </c>
      <c r="AA33" s="102" t="s">
        <v>238</v>
      </c>
      <c r="AB33" s="102" t="s">
        <v>238</v>
      </c>
      <c r="AC33" s="131"/>
      <c r="AD33" s="128" t="s">
        <v>270</v>
      </c>
    </row>
    <row r="34" spans="1:30" ht="35" customHeight="1" x14ac:dyDescent="0.2">
      <c r="A34" s="108">
        <v>830</v>
      </c>
      <c r="B34" s="107"/>
      <c r="C34" s="60"/>
      <c r="D34" s="60"/>
      <c r="E34" s="60"/>
      <c r="F34" s="60"/>
      <c r="G34" s="60"/>
      <c r="H34" s="60"/>
      <c r="I34" s="60"/>
      <c r="J34" s="60"/>
      <c r="K34" s="60"/>
      <c r="L34" s="60"/>
      <c r="AC34" s="60"/>
      <c r="AD34" s="60" t="s">
        <v>275</v>
      </c>
    </row>
    <row r="35" spans="1:30" ht="35" customHeight="1" x14ac:dyDescent="0.2">
      <c r="A35" s="107">
        <v>9</v>
      </c>
      <c r="B35" s="107"/>
      <c r="C35" s="60"/>
      <c r="D35" s="60"/>
      <c r="E35" s="60"/>
      <c r="F35" s="60"/>
      <c r="G35" s="60"/>
      <c r="H35" s="60"/>
      <c r="I35" s="60"/>
      <c r="J35" s="60"/>
      <c r="K35" s="60"/>
      <c r="L35" s="60"/>
      <c r="AC35" s="60"/>
      <c r="AD35" s="60"/>
    </row>
    <row r="36" spans="1:30" ht="35" customHeight="1" x14ac:dyDescent="0.2">
      <c r="A36" s="103">
        <v>930</v>
      </c>
      <c r="B36" s="52"/>
      <c r="C36" s="60"/>
      <c r="D36" s="60"/>
      <c r="E36" s="60"/>
      <c r="F36" s="60"/>
      <c r="G36" s="60"/>
      <c r="H36" s="60"/>
      <c r="I36" s="60"/>
      <c r="J36" s="60"/>
      <c r="K36" s="60"/>
      <c r="L36" s="60"/>
      <c r="AC36" s="60"/>
      <c r="AD36" s="60"/>
    </row>
    <row r="37" spans="1:30" ht="35" customHeight="1" x14ac:dyDescent="0.2">
      <c r="A37" s="52">
        <v>10</v>
      </c>
      <c r="B37" s="52"/>
      <c r="C37" s="60"/>
      <c r="D37" s="60"/>
      <c r="E37" s="60"/>
      <c r="F37" s="60"/>
      <c r="G37" s="60"/>
      <c r="H37" s="60"/>
      <c r="I37" s="60"/>
      <c r="J37" s="60"/>
      <c r="K37" s="60"/>
      <c r="L37" s="60"/>
      <c r="AC37" s="60"/>
      <c r="AD37" s="60"/>
    </row>
    <row r="38" spans="1:30" ht="35" customHeight="1" x14ac:dyDescent="0.2">
      <c r="A38" s="103">
        <v>1030</v>
      </c>
      <c r="B38" s="52"/>
      <c r="C38" s="60"/>
      <c r="D38" s="60"/>
      <c r="E38" s="60"/>
      <c r="F38" s="60"/>
      <c r="G38" s="60"/>
      <c r="H38" s="60"/>
      <c r="I38" s="60"/>
      <c r="J38" s="60"/>
      <c r="K38" s="60"/>
      <c r="L38" s="60"/>
      <c r="AC38" s="60"/>
      <c r="AD38" s="60"/>
    </row>
    <row r="39" spans="1:30" ht="35" customHeight="1" x14ac:dyDescent="0.2">
      <c r="A39" s="52">
        <v>11</v>
      </c>
      <c r="B39" s="52"/>
      <c r="C39" s="60"/>
      <c r="D39" s="60"/>
      <c r="E39" s="60"/>
      <c r="F39" s="60"/>
      <c r="G39" s="60"/>
      <c r="H39" s="60"/>
      <c r="I39" s="60"/>
      <c r="J39" s="60"/>
      <c r="K39" s="60"/>
      <c r="L39" s="60"/>
      <c r="AC39" s="60"/>
      <c r="AD39" s="60"/>
    </row>
    <row r="40" spans="1:30" ht="35" customHeight="1" x14ac:dyDescent="0.2">
      <c r="A40" s="103">
        <v>1130</v>
      </c>
      <c r="B40" s="52"/>
      <c r="C40" s="60"/>
      <c r="D40" s="60"/>
      <c r="E40" s="60"/>
      <c r="F40" s="60"/>
      <c r="G40" s="60"/>
      <c r="H40" s="60"/>
      <c r="I40" s="60"/>
      <c r="J40" s="60"/>
      <c r="K40" s="60"/>
      <c r="L40" s="60"/>
      <c r="AC40" s="60"/>
      <c r="AD40" s="60"/>
    </row>
    <row r="41" spans="1:30" ht="35" customHeight="1" x14ac:dyDescent="0.2">
      <c r="A41" s="52">
        <v>12</v>
      </c>
      <c r="B41" s="52"/>
      <c r="C41" s="60"/>
      <c r="D41" s="60"/>
      <c r="E41" s="60"/>
      <c r="F41" s="60"/>
      <c r="G41" s="60"/>
      <c r="H41" s="60"/>
      <c r="I41" s="60"/>
      <c r="J41" s="60"/>
      <c r="K41" s="60"/>
      <c r="L41" s="60"/>
      <c r="AC41" s="60"/>
      <c r="AD41" s="60"/>
    </row>
  </sheetData>
  <mergeCells count="18">
    <mergeCell ref="AE28:AJ28"/>
    <mergeCell ref="B1:D1"/>
    <mergeCell ref="F1:I1"/>
    <mergeCell ref="K1:M1"/>
    <mergeCell ref="O1:R1"/>
    <mergeCell ref="T1:V1"/>
    <mergeCell ref="AE22:AJ22"/>
    <mergeCell ref="AE23:AJ23"/>
    <mergeCell ref="AE24:AJ24"/>
    <mergeCell ref="E8:E10"/>
    <mergeCell ref="N16:N18"/>
    <mergeCell ref="W24:W26"/>
    <mergeCell ref="S16:S18"/>
    <mergeCell ref="AB24:AB26"/>
    <mergeCell ref="J8:J10"/>
    <mergeCell ref="X1:AA1"/>
    <mergeCell ref="AE26:AJ26"/>
    <mergeCell ref="AE27:AJ27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4133-69CF-1B41-895F-1425989258EB}">
  <dimension ref="A1:AJ41"/>
  <sheetViews>
    <sheetView topLeftCell="A8" zoomScale="56" workbookViewId="0">
      <selection activeCell="AE27" sqref="AE27:AJ27"/>
    </sheetView>
  </sheetViews>
  <sheetFormatPr baseColWidth="10" defaultColWidth="9.1640625" defaultRowHeight="35" customHeight="1" x14ac:dyDescent="0.2"/>
  <cols>
    <col min="1" max="11" width="9.1640625" style="104"/>
    <col min="12" max="12" width="8" style="104" customWidth="1"/>
    <col min="13" max="16384" width="9.1640625" style="104"/>
  </cols>
  <sheetData>
    <row r="1" spans="1:30" ht="65" customHeight="1" x14ac:dyDescent="0.2">
      <c r="B1" s="348" t="s">
        <v>214</v>
      </c>
      <c r="C1" s="348"/>
      <c r="D1" s="348"/>
      <c r="E1" s="105" t="s">
        <v>216</v>
      </c>
      <c r="F1" s="346" t="s">
        <v>213</v>
      </c>
      <c r="G1" s="347"/>
      <c r="H1" s="347"/>
      <c r="I1" s="347"/>
      <c r="J1" s="106"/>
      <c r="K1" s="348" t="s">
        <v>214</v>
      </c>
      <c r="L1" s="348"/>
      <c r="M1" s="348"/>
      <c r="N1" s="105" t="s">
        <v>216</v>
      </c>
      <c r="O1" s="346" t="s">
        <v>213</v>
      </c>
      <c r="P1" s="347"/>
      <c r="Q1" s="347"/>
      <c r="R1" s="347"/>
      <c r="S1" s="106"/>
      <c r="T1" s="348" t="s">
        <v>214</v>
      </c>
      <c r="U1" s="348"/>
      <c r="V1" s="348"/>
      <c r="W1" s="105" t="s">
        <v>216</v>
      </c>
      <c r="X1" s="346" t="s">
        <v>213</v>
      </c>
      <c r="Y1" s="347"/>
      <c r="Z1" s="347"/>
      <c r="AA1" s="347"/>
      <c r="AB1" s="106"/>
      <c r="AC1" s="135" t="s">
        <v>268</v>
      </c>
      <c r="AD1" s="135" t="s">
        <v>268</v>
      </c>
    </row>
    <row r="2" spans="1:30" ht="35" customHeight="1" x14ac:dyDescent="0.2">
      <c r="A2" s="52" t="s">
        <v>77</v>
      </c>
      <c r="B2" s="102" t="s">
        <v>198</v>
      </c>
      <c r="C2" s="102" t="s">
        <v>201</v>
      </c>
      <c r="D2" s="102" t="s">
        <v>202</v>
      </c>
      <c r="E2" s="102" t="s">
        <v>208</v>
      </c>
      <c r="F2" s="102" t="s">
        <v>203</v>
      </c>
      <c r="G2" s="60" t="s">
        <v>204</v>
      </c>
      <c r="H2" s="60" t="s">
        <v>205</v>
      </c>
      <c r="I2" s="60" t="s">
        <v>206</v>
      </c>
      <c r="J2" s="60"/>
      <c r="K2" s="60" t="s">
        <v>220</v>
      </c>
      <c r="L2" s="60" t="s">
        <v>221</v>
      </c>
      <c r="M2" s="60" t="s">
        <v>222</v>
      </c>
      <c r="N2" s="60" t="s">
        <v>223</v>
      </c>
      <c r="O2" s="60" t="s">
        <v>224</v>
      </c>
      <c r="P2" s="60" t="s">
        <v>225</v>
      </c>
      <c r="Q2" s="60" t="s">
        <v>226</v>
      </c>
      <c r="R2" s="60" t="s">
        <v>227</v>
      </c>
      <c r="S2" s="60"/>
      <c r="T2" s="60" t="s">
        <v>228</v>
      </c>
      <c r="U2" s="60" t="s">
        <v>229</v>
      </c>
      <c r="V2" s="60" t="s">
        <v>230</v>
      </c>
      <c r="W2" s="60" t="s">
        <v>239</v>
      </c>
      <c r="X2" s="60" t="s">
        <v>240</v>
      </c>
      <c r="Y2" s="60" t="s">
        <v>241</v>
      </c>
      <c r="Z2" s="60" t="s">
        <v>242</v>
      </c>
      <c r="AA2" s="60" t="s">
        <v>243</v>
      </c>
      <c r="AB2" s="60"/>
      <c r="AC2" s="60"/>
      <c r="AD2" s="60"/>
    </row>
    <row r="3" spans="1:30" ht="35" customHeight="1" x14ac:dyDescent="0.2">
      <c r="A3" s="52">
        <v>5</v>
      </c>
      <c r="B3" s="52"/>
      <c r="C3" s="102"/>
      <c r="D3" s="102"/>
      <c r="E3" s="102"/>
      <c r="F3" s="102"/>
      <c r="G3" s="102"/>
      <c r="H3" s="60"/>
      <c r="I3" s="60"/>
      <c r="J3" s="60"/>
      <c r="K3" s="60"/>
      <c r="L3" s="60"/>
      <c r="AC3" s="60"/>
      <c r="AD3" s="60"/>
    </row>
    <row r="4" spans="1:30" ht="35" customHeight="1" x14ac:dyDescent="0.2">
      <c r="A4" s="103">
        <v>530</v>
      </c>
      <c r="B4" s="52"/>
      <c r="C4" s="102"/>
      <c r="D4" s="102"/>
      <c r="E4" s="102"/>
      <c r="F4" s="102"/>
      <c r="G4" s="102"/>
      <c r="H4" s="60"/>
      <c r="I4" s="60"/>
      <c r="J4" s="60"/>
      <c r="K4" s="60"/>
      <c r="L4" s="60"/>
      <c r="AC4" s="60"/>
      <c r="AD4" s="60"/>
    </row>
    <row r="5" spans="1:30" ht="35" customHeight="1" x14ac:dyDescent="0.2">
      <c r="A5" s="52">
        <v>6</v>
      </c>
      <c r="B5" s="52"/>
      <c r="C5" s="102"/>
      <c r="D5" s="102"/>
      <c r="E5" s="102"/>
      <c r="F5" s="102"/>
      <c r="G5" s="102"/>
      <c r="H5" s="60"/>
      <c r="I5" s="60"/>
      <c r="J5" s="60"/>
      <c r="K5" s="60"/>
      <c r="L5" s="60"/>
      <c r="AC5" s="60"/>
      <c r="AD5" s="60"/>
    </row>
    <row r="6" spans="1:30" ht="35" customHeight="1" x14ac:dyDescent="0.2">
      <c r="A6" s="103">
        <v>630</v>
      </c>
      <c r="B6" s="102"/>
      <c r="C6" s="102"/>
      <c r="D6" s="102"/>
      <c r="E6" s="147"/>
      <c r="F6" s="102"/>
      <c r="G6" s="102"/>
      <c r="H6" s="102"/>
      <c r="I6" s="102"/>
      <c r="J6" s="102"/>
      <c r="K6" s="60"/>
      <c r="L6" s="60"/>
      <c r="AC6" s="60"/>
      <c r="AD6" s="60"/>
    </row>
    <row r="7" spans="1:30" ht="35" customHeight="1" x14ac:dyDescent="0.2">
      <c r="A7" s="107">
        <v>7</v>
      </c>
      <c r="B7" s="102"/>
      <c r="C7" s="102"/>
      <c r="D7" s="102"/>
      <c r="E7" s="147"/>
      <c r="F7" s="102"/>
      <c r="G7" s="102"/>
      <c r="H7" s="102"/>
      <c r="I7" s="102"/>
      <c r="J7" s="102"/>
      <c r="K7" s="60"/>
      <c r="L7" s="60"/>
      <c r="AC7" s="60"/>
      <c r="AD7" s="60"/>
    </row>
    <row r="8" spans="1:30" ht="35" customHeight="1" x14ac:dyDescent="0.2">
      <c r="A8" s="108">
        <v>730</v>
      </c>
      <c r="B8" s="109" t="s">
        <v>231</v>
      </c>
      <c r="C8" s="109" t="s">
        <v>233</v>
      </c>
      <c r="D8" s="109" t="s">
        <v>232</v>
      </c>
      <c r="E8" s="355" t="s">
        <v>216</v>
      </c>
      <c r="F8" s="110" t="s">
        <v>232</v>
      </c>
      <c r="G8" s="110" t="s">
        <v>232</v>
      </c>
      <c r="H8" s="110" t="s">
        <v>232</v>
      </c>
      <c r="I8" s="110" t="s">
        <v>232</v>
      </c>
      <c r="J8" s="355" t="s">
        <v>216</v>
      </c>
      <c r="K8" s="60"/>
      <c r="L8" s="60"/>
      <c r="AC8" s="129" t="s">
        <v>269</v>
      </c>
      <c r="AD8" s="130"/>
    </row>
    <row r="9" spans="1:30" ht="35" customHeight="1" x14ac:dyDescent="0.2">
      <c r="A9" s="107">
        <v>8</v>
      </c>
      <c r="B9" s="109" t="s">
        <v>211</v>
      </c>
      <c r="C9" s="109" t="s">
        <v>196</v>
      </c>
      <c r="D9" s="109" t="s">
        <v>197</v>
      </c>
      <c r="E9" s="355"/>
      <c r="F9" s="110" t="s">
        <v>207</v>
      </c>
      <c r="G9" s="110" t="s">
        <v>131</v>
      </c>
      <c r="H9" s="110" t="s">
        <v>200</v>
      </c>
      <c r="I9" s="110" t="s">
        <v>199</v>
      </c>
      <c r="J9" s="355"/>
      <c r="K9" s="60"/>
      <c r="L9" s="60"/>
      <c r="AC9" s="126" t="s">
        <v>270</v>
      </c>
      <c r="AD9" s="130"/>
    </row>
    <row r="10" spans="1:30" ht="35" customHeight="1" x14ac:dyDescent="0.2">
      <c r="A10" s="108">
        <v>830</v>
      </c>
      <c r="B10" s="109" t="s">
        <v>212</v>
      </c>
      <c r="C10" s="109" t="s">
        <v>196</v>
      </c>
      <c r="D10" s="109" t="s">
        <v>197</v>
      </c>
      <c r="E10" s="355"/>
      <c r="F10" s="110" t="s">
        <v>207</v>
      </c>
      <c r="G10" s="110" t="s">
        <v>131</v>
      </c>
      <c r="H10" s="110" t="s">
        <v>200</v>
      </c>
      <c r="I10" s="110" t="s">
        <v>199</v>
      </c>
      <c r="J10" s="355"/>
      <c r="K10" s="60"/>
      <c r="L10" s="60"/>
      <c r="AC10" s="126" t="s">
        <v>270</v>
      </c>
      <c r="AD10" s="130"/>
    </row>
    <row r="11" spans="1:30" ht="35" customHeight="1" x14ac:dyDescent="0.2">
      <c r="A11" s="107">
        <v>9</v>
      </c>
      <c r="B11" s="109" t="s">
        <v>196</v>
      </c>
      <c r="C11" s="109" t="s">
        <v>197</v>
      </c>
      <c r="D11" s="111" t="s">
        <v>218</v>
      </c>
      <c r="E11" s="112" t="s">
        <v>217</v>
      </c>
      <c r="F11" s="110" t="s">
        <v>131</v>
      </c>
      <c r="G11" s="110" t="s">
        <v>200</v>
      </c>
      <c r="H11" s="110" t="s">
        <v>199</v>
      </c>
      <c r="I11" s="113" t="s">
        <v>219</v>
      </c>
      <c r="J11" s="112" t="s">
        <v>217</v>
      </c>
      <c r="K11" s="60"/>
      <c r="L11" s="60"/>
      <c r="AC11" s="138" t="s">
        <v>342</v>
      </c>
      <c r="AD11" s="132"/>
    </row>
    <row r="12" spans="1:30" ht="35" customHeight="1" x14ac:dyDescent="0.2">
      <c r="A12" s="108">
        <v>930</v>
      </c>
      <c r="B12" s="109" t="s">
        <v>196</v>
      </c>
      <c r="C12" s="109" t="s">
        <v>197</v>
      </c>
      <c r="D12" s="109" t="s">
        <v>212</v>
      </c>
      <c r="E12" s="112" t="s">
        <v>216</v>
      </c>
      <c r="F12" s="110" t="s">
        <v>131</v>
      </c>
      <c r="G12" s="110" t="s">
        <v>200</v>
      </c>
      <c r="H12" s="110" t="s">
        <v>199</v>
      </c>
      <c r="I12" s="110" t="s">
        <v>207</v>
      </c>
      <c r="J12" s="112" t="s">
        <v>216</v>
      </c>
      <c r="K12" s="60"/>
      <c r="L12" s="60">
        <v>81</v>
      </c>
      <c r="M12" s="104">
        <v>48</v>
      </c>
      <c r="N12" s="104">
        <v>3</v>
      </c>
      <c r="O12" s="104">
        <v>12.5</v>
      </c>
      <c r="P12" s="104">
        <v>24</v>
      </c>
      <c r="AC12" s="126" t="s">
        <v>270</v>
      </c>
      <c r="AD12" s="130"/>
    </row>
    <row r="13" spans="1:30" ht="35" customHeight="1" x14ac:dyDescent="0.2">
      <c r="A13" s="107">
        <v>10</v>
      </c>
      <c r="B13" s="109" t="s">
        <v>197</v>
      </c>
      <c r="C13" s="111" t="s">
        <v>218</v>
      </c>
      <c r="D13" s="109" t="s">
        <v>196</v>
      </c>
      <c r="E13" s="112" t="s">
        <v>217</v>
      </c>
      <c r="F13" s="110" t="s">
        <v>200</v>
      </c>
      <c r="G13" s="110" t="s">
        <v>199</v>
      </c>
      <c r="H13" s="113" t="s">
        <v>219</v>
      </c>
      <c r="I13" s="110" t="s">
        <v>131</v>
      </c>
      <c r="J13" s="112" t="s">
        <v>217</v>
      </c>
      <c r="K13" s="60"/>
      <c r="L13" s="60"/>
      <c r="AC13" s="126" t="s">
        <v>270</v>
      </c>
      <c r="AD13" s="130"/>
    </row>
    <row r="14" spans="1:30" ht="35" customHeight="1" x14ac:dyDescent="0.2">
      <c r="A14" s="108">
        <v>1030</v>
      </c>
      <c r="B14" s="109" t="s">
        <v>197</v>
      </c>
      <c r="C14" s="109" t="s">
        <v>212</v>
      </c>
      <c r="D14" s="109" t="s">
        <v>196</v>
      </c>
      <c r="E14" s="112" t="s">
        <v>216</v>
      </c>
      <c r="F14" s="110" t="s">
        <v>200</v>
      </c>
      <c r="G14" s="110" t="s">
        <v>199</v>
      </c>
      <c r="H14" s="110" t="s">
        <v>207</v>
      </c>
      <c r="I14" s="110" t="s">
        <v>131</v>
      </c>
      <c r="J14" s="112" t="s">
        <v>216</v>
      </c>
      <c r="AC14" s="126" t="s">
        <v>270</v>
      </c>
      <c r="AD14" s="130"/>
    </row>
    <row r="15" spans="1:30" ht="35" customHeight="1" x14ac:dyDescent="0.2">
      <c r="A15" s="107">
        <v>11</v>
      </c>
      <c r="B15" s="111" t="s">
        <v>218</v>
      </c>
      <c r="C15" s="109" t="s">
        <v>196</v>
      </c>
      <c r="D15" s="109" t="s">
        <v>197</v>
      </c>
      <c r="E15" s="112" t="s">
        <v>217</v>
      </c>
      <c r="F15" s="110" t="s">
        <v>199</v>
      </c>
      <c r="G15" s="113" t="s">
        <v>219</v>
      </c>
      <c r="H15" s="110" t="s">
        <v>131</v>
      </c>
      <c r="I15" s="110" t="s">
        <v>200</v>
      </c>
      <c r="J15" s="112" t="s">
        <v>217</v>
      </c>
      <c r="AC15" s="138" t="s">
        <v>343</v>
      </c>
      <c r="AD15" s="130"/>
    </row>
    <row r="16" spans="1:30" ht="35" customHeight="1" x14ac:dyDescent="0.2">
      <c r="A16" s="108">
        <v>1130</v>
      </c>
      <c r="B16" s="109" t="s">
        <v>212</v>
      </c>
      <c r="C16" s="109" t="s">
        <v>196</v>
      </c>
      <c r="D16" s="109" t="s">
        <v>197</v>
      </c>
      <c r="E16" s="112" t="s">
        <v>396</v>
      </c>
      <c r="F16" s="110" t="s">
        <v>199</v>
      </c>
      <c r="G16" s="110" t="s">
        <v>207</v>
      </c>
      <c r="H16" s="110" t="s">
        <v>131</v>
      </c>
      <c r="I16" s="110" t="s">
        <v>200</v>
      </c>
      <c r="J16" s="112" t="s">
        <v>396</v>
      </c>
      <c r="K16" s="109" t="s">
        <v>295</v>
      </c>
      <c r="L16" s="109" t="s">
        <v>295</v>
      </c>
      <c r="M16" s="109" t="s">
        <v>295</v>
      </c>
      <c r="N16" s="120" t="s">
        <v>216</v>
      </c>
      <c r="O16" s="110" t="s">
        <v>295</v>
      </c>
      <c r="P16" s="110" t="s">
        <v>295</v>
      </c>
      <c r="Q16" s="110" t="s">
        <v>295</v>
      </c>
      <c r="R16" s="110" t="s">
        <v>295</v>
      </c>
      <c r="S16" s="120" t="s">
        <v>216</v>
      </c>
      <c r="AC16" s="126" t="s">
        <v>270</v>
      </c>
      <c r="AD16" s="130"/>
    </row>
    <row r="17" spans="1:36" ht="35" customHeight="1" x14ac:dyDescent="0.2">
      <c r="A17" s="107">
        <v>12</v>
      </c>
      <c r="B17" s="102" t="s">
        <v>215</v>
      </c>
      <c r="C17" s="102" t="s">
        <v>215</v>
      </c>
      <c r="D17" s="102" t="s">
        <v>215</v>
      </c>
      <c r="E17" s="102" t="s">
        <v>215</v>
      </c>
      <c r="F17" s="102" t="s">
        <v>215</v>
      </c>
      <c r="G17" s="102" t="s">
        <v>215</v>
      </c>
      <c r="H17" s="138" t="s">
        <v>244</v>
      </c>
      <c r="I17" s="138" t="s">
        <v>244</v>
      </c>
      <c r="J17" s="102"/>
      <c r="K17" s="119" t="s">
        <v>211</v>
      </c>
      <c r="L17" s="109" t="s">
        <v>196</v>
      </c>
      <c r="M17" s="109" t="s">
        <v>197</v>
      </c>
      <c r="N17" s="120" t="s">
        <v>216</v>
      </c>
      <c r="O17" s="113" t="s">
        <v>209</v>
      </c>
      <c r="P17" s="110" t="s">
        <v>131</v>
      </c>
      <c r="Q17" s="110" t="s">
        <v>200</v>
      </c>
      <c r="R17" s="110" t="s">
        <v>199</v>
      </c>
      <c r="S17" s="113" t="s">
        <v>255</v>
      </c>
      <c r="T17" s="125" t="s">
        <v>257</v>
      </c>
      <c r="AC17" s="126" t="s">
        <v>270</v>
      </c>
      <c r="AD17" s="130"/>
    </row>
    <row r="18" spans="1:36" ht="35" customHeight="1" x14ac:dyDescent="0.2">
      <c r="A18" s="108">
        <v>1230</v>
      </c>
      <c r="B18" s="107"/>
      <c r="C18" s="102"/>
      <c r="D18" s="102"/>
      <c r="E18" s="102"/>
      <c r="F18" s="102"/>
      <c r="G18" s="102"/>
      <c r="H18" s="189" t="s">
        <v>129</v>
      </c>
      <c r="I18" s="189" t="s">
        <v>129</v>
      </c>
      <c r="J18" s="102"/>
      <c r="K18" s="109" t="s">
        <v>212</v>
      </c>
      <c r="L18" s="109" t="s">
        <v>196</v>
      </c>
      <c r="M18" s="109" t="s">
        <v>197</v>
      </c>
      <c r="N18" s="120" t="s">
        <v>216</v>
      </c>
      <c r="O18" s="110" t="s">
        <v>207</v>
      </c>
      <c r="P18" s="113" t="s">
        <v>256</v>
      </c>
      <c r="Q18" s="110" t="s">
        <v>200</v>
      </c>
      <c r="R18" s="110" t="s">
        <v>199</v>
      </c>
      <c r="S18" s="113" t="s">
        <v>256</v>
      </c>
      <c r="AC18" s="126" t="s">
        <v>270</v>
      </c>
      <c r="AD18" s="130"/>
    </row>
    <row r="19" spans="1:36" ht="35" customHeight="1" x14ac:dyDescent="0.2">
      <c r="A19" s="107">
        <v>1</v>
      </c>
      <c r="B19" s="107"/>
      <c r="C19" s="102"/>
      <c r="D19" s="102"/>
      <c r="E19" s="102"/>
      <c r="F19" s="102"/>
      <c r="G19" s="102"/>
      <c r="H19" s="112" t="s">
        <v>331</v>
      </c>
      <c r="I19" s="112" t="s">
        <v>331</v>
      </c>
      <c r="J19" s="102"/>
      <c r="K19" s="109" t="s">
        <v>196</v>
      </c>
      <c r="L19" s="109" t="s">
        <v>197</v>
      </c>
      <c r="M19" s="111" t="s">
        <v>244</v>
      </c>
      <c r="N19" s="111" t="s">
        <v>246</v>
      </c>
      <c r="O19" s="110" t="s">
        <v>131</v>
      </c>
      <c r="P19" s="110" t="s">
        <v>200</v>
      </c>
      <c r="Q19" s="110" t="s">
        <v>199</v>
      </c>
      <c r="R19" s="141" t="s">
        <v>244</v>
      </c>
      <c r="S19" s="120" t="s">
        <v>216</v>
      </c>
      <c r="T19" s="125" t="s">
        <v>257</v>
      </c>
      <c r="AC19" s="126" t="s">
        <v>270</v>
      </c>
      <c r="AD19" s="130"/>
    </row>
    <row r="20" spans="1:36" ht="35" customHeight="1" x14ac:dyDescent="0.2">
      <c r="A20" s="108">
        <v>130</v>
      </c>
      <c r="B20" s="107"/>
      <c r="C20" s="102"/>
      <c r="D20" s="102"/>
      <c r="E20" s="102"/>
      <c r="F20" s="102"/>
      <c r="G20" s="102"/>
      <c r="H20" s="112" t="s">
        <v>331</v>
      </c>
      <c r="I20" s="112" t="s">
        <v>331</v>
      </c>
      <c r="J20" s="102"/>
      <c r="K20" s="109" t="s">
        <v>196</v>
      </c>
      <c r="L20" s="109" t="s">
        <v>197</v>
      </c>
      <c r="M20" s="109" t="s">
        <v>212</v>
      </c>
      <c r="N20" s="116"/>
      <c r="O20" s="110" t="s">
        <v>131</v>
      </c>
      <c r="P20" s="110" t="s">
        <v>200</v>
      </c>
      <c r="Q20" s="110" t="s">
        <v>199</v>
      </c>
      <c r="R20" s="110" t="s">
        <v>207</v>
      </c>
      <c r="S20" s="116"/>
      <c r="AC20" s="191" t="s">
        <v>274</v>
      </c>
      <c r="AD20" s="126" t="s">
        <v>266</v>
      </c>
    </row>
    <row r="21" spans="1:36" ht="35" customHeight="1" x14ac:dyDescent="0.2">
      <c r="A21" s="107">
        <v>2</v>
      </c>
      <c r="B21" s="107"/>
      <c r="C21" s="102"/>
      <c r="D21" s="102"/>
      <c r="E21" s="102"/>
      <c r="F21" s="102"/>
      <c r="G21" s="102"/>
      <c r="H21" s="102"/>
      <c r="I21" s="102"/>
      <c r="J21" s="102"/>
      <c r="K21" s="109" t="s">
        <v>197</v>
      </c>
      <c r="L21" s="111" t="s">
        <v>244</v>
      </c>
      <c r="M21" s="109" t="s">
        <v>196</v>
      </c>
      <c r="N21" s="111" t="s">
        <v>246</v>
      </c>
      <c r="O21" s="110" t="s">
        <v>200</v>
      </c>
      <c r="P21" s="110" t="s">
        <v>199</v>
      </c>
      <c r="Q21" s="124" t="s">
        <v>244</v>
      </c>
      <c r="R21" s="110" t="s">
        <v>131</v>
      </c>
      <c r="S21" s="120" t="s">
        <v>216</v>
      </c>
      <c r="T21" s="125" t="s">
        <v>257</v>
      </c>
      <c r="AC21" s="102"/>
      <c r="AD21" s="126" t="s">
        <v>270</v>
      </c>
    </row>
    <row r="22" spans="1:36" ht="35" customHeight="1" x14ac:dyDescent="0.2">
      <c r="A22" s="108">
        <v>230</v>
      </c>
      <c r="B22" s="107"/>
      <c r="C22" s="102"/>
      <c r="D22" s="102"/>
      <c r="E22" s="102"/>
      <c r="F22" s="102"/>
      <c r="G22" s="102"/>
      <c r="H22" s="102"/>
      <c r="I22" s="102"/>
      <c r="J22" s="102"/>
      <c r="K22" s="109" t="s">
        <v>197</v>
      </c>
      <c r="L22" s="109" t="s">
        <v>212</v>
      </c>
      <c r="M22" s="109" t="s">
        <v>196</v>
      </c>
      <c r="N22" s="120" t="s">
        <v>216</v>
      </c>
      <c r="O22" s="110" t="s">
        <v>200</v>
      </c>
      <c r="P22" s="110" t="s">
        <v>199</v>
      </c>
      <c r="Q22" s="110" t="s">
        <v>207</v>
      </c>
      <c r="R22" s="113" t="s">
        <v>256</v>
      </c>
      <c r="S22" s="113" t="s">
        <v>256</v>
      </c>
      <c r="AC22" s="130"/>
      <c r="AD22" s="126" t="s">
        <v>270</v>
      </c>
    </row>
    <row r="23" spans="1:36" ht="35" customHeight="1" x14ac:dyDescent="0.2">
      <c r="A23" s="107">
        <v>3</v>
      </c>
      <c r="B23" s="107"/>
      <c r="C23" s="102"/>
      <c r="D23" s="102"/>
      <c r="E23" s="102"/>
      <c r="F23" s="102"/>
      <c r="G23" s="102"/>
      <c r="H23" s="102"/>
      <c r="I23" s="102"/>
      <c r="J23" s="102"/>
      <c r="K23" s="111" t="s">
        <v>244</v>
      </c>
      <c r="L23" s="109" t="s">
        <v>196</v>
      </c>
      <c r="M23" s="109" t="s">
        <v>197</v>
      </c>
      <c r="N23" s="111" t="s">
        <v>246</v>
      </c>
      <c r="O23" s="110" t="s">
        <v>199</v>
      </c>
      <c r="P23" s="124" t="s">
        <v>244</v>
      </c>
      <c r="Q23" s="110" t="s">
        <v>131</v>
      </c>
      <c r="R23" s="110" t="s">
        <v>200</v>
      </c>
      <c r="S23" s="113" t="s">
        <v>256</v>
      </c>
      <c r="T23" s="125" t="s">
        <v>257</v>
      </c>
      <c r="W23" s="104" t="s">
        <v>347</v>
      </c>
      <c r="X23" s="104" t="s">
        <v>347</v>
      </c>
      <c r="Y23" s="104" t="s">
        <v>347</v>
      </c>
      <c r="Z23" s="104" t="s">
        <v>347</v>
      </c>
      <c r="AA23" s="104" t="s">
        <v>347</v>
      </c>
      <c r="AB23" s="104" t="s">
        <v>347</v>
      </c>
      <c r="AC23" s="130"/>
      <c r="AD23" s="138" t="s">
        <v>342</v>
      </c>
      <c r="AE23" s="143">
        <v>0.125</v>
      </c>
      <c r="AF23" s="143">
        <v>0.125</v>
      </c>
      <c r="AG23" s="143">
        <v>0.125</v>
      </c>
      <c r="AH23" s="143">
        <v>0.125</v>
      </c>
      <c r="AI23" s="143">
        <v>0.125</v>
      </c>
      <c r="AJ23" s="143">
        <v>0.125</v>
      </c>
    </row>
    <row r="24" spans="1:36" ht="35" customHeight="1" x14ac:dyDescent="0.2">
      <c r="A24" s="114">
        <v>0.14583333333333334</v>
      </c>
      <c r="B24" s="115"/>
      <c r="C24" s="102"/>
      <c r="D24" s="102"/>
      <c r="E24" s="102"/>
      <c r="F24" s="102"/>
      <c r="G24" s="102"/>
      <c r="H24" s="102"/>
      <c r="I24" s="102"/>
      <c r="J24" s="102"/>
      <c r="K24" s="109" t="s">
        <v>212</v>
      </c>
      <c r="L24" s="109" t="s">
        <v>196</v>
      </c>
      <c r="M24" s="109" t="s">
        <v>197</v>
      </c>
      <c r="N24" s="122" t="s">
        <v>244</v>
      </c>
      <c r="O24" s="110" t="s">
        <v>199</v>
      </c>
      <c r="P24" s="110" t="s">
        <v>207</v>
      </c>
      <c r="Q24" s="110" t="s">
        <v>131</v>
      </c>
      <c r="R24" s="110" t="s">
        <v>200</v>
      </c>
      <c r="S24" s="122" t="s">
        <v>244</v>
      </c>
      <c r="W24" s="193" t="s">
        <v>130</v>
      </c>
      <c r="X24" s="194"/>
      <c r="Y24" s="194"/>
      <c r="Z24" s="194"/>
      <c r="AA24" s="194"/>
      <c r="AB24" s="195"/>
      <c r="AC24" s="130"/>
      <c r="AD24" s="136">
        <v>330</v>
      </c>
      <c r="AE24" s="349" t="s">
        <v>352</v>
      </c>
      <c r="AF24" s="350"/>
      <c r="AG24" s="350"/>
      <c r="AH24" s="350"/>
      <c r="AI24" s="350"/>
      <c r="AJ24" s="351"/>
    </row>
    <row r="25" spans="1:36" ht="35" customHeight="1" x14ac:dyDescent="0.2">
      <c r="A25" s="107">
        <v>4</v>
      </c>
      <c r="B25" s="107"/>
      <c r="C25" s="60"/>
      <c r="D25" s="102"/>
      <c r="E25" s="102"/>
      <c r="F25" s="102"/>
      <c r="G25" s="102"/>
      <c r="H25" s="102"/>
      <c r="I25" s="102"/>
      <c r="J25" s="102"/>
      <c r="K25" s="109" t="s">
        <v>196</v>
      </c>
      <c r="L25" s="109" t="s">
        <v>197</v>
      </c>
      <c r="M25" s="119" t="s">
        <v>211</v>
      </c>
      <c r="N25" s="120" t="s">
        <v>216</v>
      </c>
      <c r="O25" s="124" t="s">
        <v>244</v>
      </c>
      <c r="P25" s="110" t="s">
        <v>131</v>
      </c>
      <c r="Q25" s="110" t="s">
        <v>200</v>
      </c>
      <c r="R25" s="110" t="s">
        <v>199</v>
      </c>
      <c r="S25" s="120" t="s">
        <v>216</v>
      </c>
      <c r="W25" s="196" t="s">
        <v>345</v>
      </c>
      <c r="X25" s="197"/>
      <c r="Y25" s="197"/>
      <c r="Z25" s="197"/>
      <c r="AA25" s="197"/>
      <c r="AB25" s="198"/>
      <c r="AC25" s="130"/>
      <c r="AD25" s="136">
        <v>4</v>
      </c>
      <c r="AE25" s="352" t="s">
        <v>353</v>
      </c>
      <c r="AF25" s="353"/>
      <c r="AG25" s="353"/>
      <c r="AH25" s="353"/>
      <c r="AI25" s="353"/>
      <c r="AJ25" s="354"/>
    </row>
    <row r="26" spans="1:36" ht="35" customHeight="1" x14ac:dyDescent="0.2">
      <c r="A26" s="114">
        <v>0.1875</v>
      </c>
      <c r="B26" s="115"/>
      <c r="C26" s="60"/>
      <c r="D26" s="102"/>
      <c r="E26" s="102"/>
      <c r="F26" s="102"/>
      <c r="G26" s="102"/>
      <c r="H26" s="102"/>
      <c r="I26" s="102"/>
      <c r="J26" s="102"/>
      <c r="K26" s="109" t="s">
        <v>196</v>
      </c>
      <c r="L26" s="109" t="s">
        <v>197</v>
      </c>
      <c r="M26" s="119" t="s">
        <v>211</v>
      </c>
      <c r="N26" s="116"/>
      <c r="O26" s="110" t="s">
        <v>207</v>
      </c>
      <c r="P26" s="110" t="s">
        <v>131</v>
      </c>
      <c r="Q26" s="110" t="s">
        <v>200</v>
      </c>
      <c r="R26" s="110" t="s">
        <v>199</v>
      </c>
      <c r="S26" s="116"/>
      <c r="W26" s="196" t="s">
        <v>345</v>
      </c>
      <c r="X26" s="197"/>
      <c r="Y26" s="197"/>
      <c r="Z26" s="197"/>
      <c r="AA26" s="197"/>
      <c r="AB26" s="198"/>
      <c r="AC26" s="130"/>
      <c r="AD26" s="136">
        <v>5</v>
      </c>
      <c r="AE26" s="352" t="s">
        <v>353</v>
      </c>
      <c r="AF26" s="353"/>
      <c r="AG26" s="353"/>
      <c r="AH26" s="353"/>
      <c r="AI26" s="353"/>
      <c r="AJ26" s="354"/>
    </row>
    <row r="27" spans="1:36" ht="35" customHeight="1" x14ac:dyDescent="0.2">
      <c r="A27" s="107">
        <v>5</v>
      </c>
      <c r="B27" s="107"/>
      <c r="C27" s="60"/>
      <c r="D27" s="102"/>
      <c r="E27" s="102"/>
      <c r="F27" s="102"/>
      <c r="G27" s="102"/>
      <c r="H27" s="102"/>
      <c r="I27" s="102"/>
      <c r="J27" s="102"/>
      <c r="K27" s="109" t="s">
        <v>197</v>
      </c>
      <c r="L27" s="118" t="s">
        <v>211</v>
      </c>
      <c r="M27" s="109" t="s">
        <v>196</v>
      </c>
      <c r="N27" s="120" t="s">
        <v>216</v>
      </c>
      <c r="O27" s="110" t="s">
        <v>131</v>
      </c>
      <c r="P27" s="110" t="s">
        <v>200</v>
      </c>
      <c r="Q27" s="110" t="s">
        <v>199</v>
      </c>
      <c r="R27" s="110" t="s">
        <v>207</v>
      </c>
      <c r="S27" s="116"/>
      <c r="W27" s="141" t="s">
        <v>244</v>
      </c>
      <c r="X27" s="141" t="s">
        <v>346</v>
      </c>
      <c r="Y27" s="141" t="s">
        <v>346</v>
      </c>
      <c r="Z27" s="141" t="s">
        <v>346</v>
      </c>
      <c r="AA27" s="141" t="s">
        <v>346</v>
      </c>
      <c r="AB27" s="141" t="s">
        <v>346</v>
      </c>
      <c r="AC27" s="130"/>
      <c r="AD27" s="138" t="s">
        <v>343</v>
      </c>
      <c r="AE27" s="270" t="s">
        <v>450</v>
      </c>
      <c r="AF27" s="270" t="s">
        <v>450</v>
      </c>
      <c r="AG27" s="270" t="s">
        <v>450</v>
      </c>
      <c r="AH27" s="270" t="s">
        <v>450</v>
      </c>
      <c r="AI27" s="270" t="s">
        <v>450</v>
      </c>
      <c r="AJ27" s="270" t="s">
        <v>450</v>
      </c>
    </row>
    <row r="28" spans="1:36" ht="35" customHeight="1" x14ac:dyDescent="0.2">
      <c r="A28" s="108">
        <v>530</v>
      </c>
      <c r="B28" s="107"/>
      <c r="C28" s="60"/>
      <c r="D28" s="102"/>
      <c r="E28" s="102"/>
      <c r="F28" s="102"/>
      <c r="G28" s="102"/>
      <c r="H28" s="102"/>
      <c r="I28" s="102"/>
      <c r="J28" s="102"/>
      <c r="K28" s="109" t="s">
        <v>197</v>
      </c>
      <c r="L28" s="119" t="s">
        <v>211</v>
      </c>
      <c r="M28" s="109" t="s">
        <v>196</v>
      </c>
      <c r="N28" s="116"/>
      <c r="O28" s="110" t="s">
        <v>131</v>
      </c>
      <c r="P28" s="110" t="s">
        <v>200</v>
      </c>
      <c r="Q28" s="110" t="s">
        <v>199</v>
      </c>
      <c r="R28" s="110" t="s">
        <v>207</v>
      </c>
      <c r="S28" s="116"/>
      <c r="T28" s="109" t="s">
        <v>297</v>
      </c>
      <c r="U28" s="109" t="s">
        <v>297</v>
      </c>
      <c r="V28" s="109" t="s">
        <v>297</v>
      </c>
      <c r="W28" s="355" t="s">
        <v>216</v>
      </c>
      <c r="X28" s="110" t="s">
        <v>297</v>
      </c>
      <c r="Y28" s="110" t="s">
        <v>297</v>
      </c>
      <c r="Z28" s="110" t="s">
        <v>297</v>
      </c>
      <c r="AA28" s="110" t="s">
        <v>297</v>
      </c>
      <c r="AB28" s="355" t="s">
        <v>216</v>
      </c>
      <c r="AC28" s="137"/>
      <c r="AD28" s="136">
        <v>530</v>
      </c>
      <c r="AE28" s="349" t="s">
        <v>354</v>
      </c>
      <c r="AF28" s="350"/>
      <c r="AG28" s="350"/>
      <c r="AH28" s="350"/>
      <c r="AI28" s="350"/>
      <c r="AJ28" s="351"/>
    </row>
    <row r="29" spans="1:36" ht="35" customHeight="1" x14ac:dyDescent="0.2">
      <c r="A29" s="107">
        <v>6</v>
      </c>
      <c r="B29" s="107"/>
      <c r="C29" s="60"/>
      <c r="D29" s="102"/>
      <c r="E29" s="102"/>
      <c r="F29" s="102"/>
      <c r="G29" s="102"/>
      <c r="H29" s="102"/>
      <c r="I29" s="102"/>
      <c r="J29" s="102"/>
      <c r="K29" s="102" t="s">
        <v>294</v>
      </c>
      <c r="L29" s="102" t="s">
        <v>294</v>
      </c>
      <c r="M29" s="102" t="s">
        <v>294</v>
      </c>
      <c r="N29" s="102" t="s">
        <v>294</v>
      </c>
      <c r="O29" s="102" t="s">
        <v>294</v>
      </c>
      <c r="P29" s="102" t="s">
        <v>294</v>
      </c>
      <c r="Q29" s="102" t="s">
        <v>294</v>
      </c>
      <c r="R29" s="102" t="s">
        <v>294</v>
      </c>
      <c r="S29" s="102"/>
      <c r="T29" s="109" t="s">
        <v>211</v>
      </c>
      <c r="U29" s="109" t="s">
        <v>196</v>
      </c>
      <c r="V29" s="109" t="s">
        <v>197</v>
      </c>
      <c r="W29" s="355"/>
      <c r="X29" s="110" t="s">
        <v>207</v>
      </c>
      <c r="Y29" s="110" t="s">
        <v>131</v>
      </c>
      <c r="Z29" s="110" t="s">
        <v>200</v>
      </c>
      <c r="AA29" s="110" t="s">
        <v>199</v>
      </c>
      <c r="AB29" s="355"/>
      <c r="AC29" s="137"/>
      <c r="AD29" s="136">
        <v>6</v>
      </c>
      <c r="AE29" s="352" t="s">
        <v>355</v>
      </c>
      <c r="AF29" s="353"/>
      <c r="AG29" s="353"/>
      <c r="AH29" s="353"/>
      <c r="AI29" s="353"/>
      <c r="AJ29" s="354"/>
    </row>
    <row r="30" spans="1:36" ht="35" customHeight="1" x14ac:dyDescent="0.2">
      <c r="A30" s="108">
        <v>630</v>
      </c>
      <c r="B30" s="107"/>
      <c r="C30" s="60"/>
      <c r="D30" s="102"/>
      <c r="E30" s="102"/>
      <c r="F30" s="102"/>
      <c r="G30" s="102"/>
      <c r="H30" s="102"/>
      <c r="I30" s="102"/>
      <c r="J30" s="102"/>
      <c r="T30" s="109" t="s">
        <v>212</v>
      </c>
      <c r="U30" s="109" t="s">
        <v>196</v>
      </c>
      <c r="V30" s="109" t="s">
        <v>197</v>
      </c>
      <c r="W30" s="355"/>
      <c r="X30" s="110" t="s">
        <v>207</v>
      </c>
      <c r="Y30" s="110" t="s">
        <v>131</v>
      </c>
      <c r="Z30" s="110" t="s">
        <v>200</v>
      </c>
      <c r="AA30" s="110" t="s">
        <v>199</v>
      </c>
      <c r="AB30" s="355"/>
      <c r="AC30" s="137"/>
      <c r="AD30" s="128">
        <v>7</v>
      </c>
      <c r="AE30" s="352" t="s">
        <v>355</v>
      </c>
      <c r="AF30" s="353"/>
      <c r="AG30" s="353"/>
      <c r="AH30" s="353"/>
      <c r="AI30" s="353"/>
      <c r="AJ30" s="354"/>
    </row>
    <row r="31" spans="1:36" ht="35" customHeight="1" x14ac:dyDescent="0.2">
      <c r="A31" s="107">
        <v>7</v>
      </c>
      <c r="B31" s="107"/>
      <c r="C31" s="60"/>
      <c r="D31" s="102"/>
      <c r="E31" s="102"/>
      <c r="F31" s="102"/>
      <c r="G31" s="102"/>
      <c r="H31" s="102"/>
      <c r="I31" s="102"/>
      <c r="J31" s="102"/>
      <c r="T31" s="109" t="s">
        <v>196</v>
      </c>
      <c r="U31" s="109" t="s">
        <v>197</v>
      </c>
      <c r="V31" s="111" t="s">
        <v>218</v>
      </c>
      <c r="W31" s="112" t="s">
        <v>217</v>
      </c>
      <c r="X31" s="110" t="s">
        <v>131</v>
      </c>
      <c r="Y31" s="110" t="s">
        <v>200</v>
      </c>
      <c r="Z31" s="110" t="s">
        <v>199</v>
      </c>
      <c r="AA31" s="113" t="s">
        <v>219</v>
      </c>
      <c r="AB31" s="112" t="s">
        <v>217</v>
      </c>
      <c r="AC31" s="60"/>
      <c r="AD31" s="128" t="s">
        <v>344</v>
      </c>
      <c r="AE31" s="60" t="s">
        <v>272</v>
      </c>
      <c r="AF31" s="60" t="s">
        <v>272</v>
      </c>
      <c r="AG31" s="60" t="s">
        <v>272</v>
      </c>
      <c r="AH31" s="60" t="s">
        <v>272</v>
      </c>
      <c r="AI31" s="60" t="s">
        <v>272</v>
      </c>
      <c r="AJ31" s="60" t="s">
        <v>272</v>
      </c>
    </row>
    <row r="32" spans="1:36" ht="35" customHeight="1" x14ac:dyDescent="0.2">
      <c r="A32" s="108">
        <v>730</v>
      </c>
      <c r="B32" s="107"/>
      <c r="C32" s="60"/>
      <c r="D32" s="60"/>
      <c r="E32" s="60"/>
      <c r="F32" s="60"/>
      <c r="G32" s="60"/>
      <c r="H32" s="60"/>
      <c r="I32" s="60"/>
      <c r="J32" s="60"/>
      <c r="T32" s="109" t="s">
        <v>196</v>
      </c>
      <c r="U32" s="109" t="s">
        <v>197</v>
      </c>
      <c r="V32" s="109" t="s">
        <v>212</v>
      </c>
      <c r="W32" s="112" t="s">
        <v>216</v>
      </c>
      <c r="X32" s="110" t="s">
        <v>131</v>
      </c>
      <c r="Y32" s="110" t="s">
        <v>200</v>
      </c>
      <c r="Z32" s="110" t="s">
        <v>199</v>
      </c>
      <c r="AA32" s="110" t="s">
        <v>207</v>
      </c>
      <c r="AB32" s="112" t="s">
        <v>216</v>
      </c>
      <c r="AC32" s="131"/>
      <c r="AD32" s="128" t="s">
        <v>344</v>
      </c>
    </row>
    <row r="33" spans="1:30" ht="35" customHeight="1" x14ac:dyDescent="0.2">
      <c r="A33" s="107">
        <v>8</v>
      </c>
      <c r="B33" s="107"/>
      <c r="C33" s="60"/>
      <c r="D33" s="60"/>
      <c r="E33" s="60"/>
      <c r="F33" s="60"/>
      <c r="G33" s="60"/>
      <c r="H33" s="60"/>
      <c r="I33" s="60"/>
      <c r="J33" s="60"/>
      <c r="T33" s="109" t="s">
        <v>197</v>
      </c>
      <c r="U33" s="111" t="s">
        <v>218</v>
      </c>
      <c r="V33" s="109" t="s">
        <v>196</v>
      </c>
      <c r="W33" s="112" t="s">
        <v>217</v>
      </c>
      <c r="X33" s="110" t="s">
        <v>200</v>
      </c>
      <c r="Y33" s="110" t="s">
        <v>199</v>
      </c>
      <c r="Z33" s="113" t="s">
        <v>219</v>
      </c>
      <c r="AA33" s="110" t="s">
        <v>131</v>
      </c>
      <c r="AB33" s="112" t="s">
        <v>217</v>
      </c>
      <c r="AC33" s="131"/>
      <c r="AD33" s="128" t="s">
        <v>270</v>
      </c>
    </row>
    <row r="34" spans="1:30" ht="35" customHeight="1" x14ac:dyDescent="0.2">
      <c r="A34" s="108">
        <v>830</v>
      </c>
      <c r="B34" s="107"/>
      <c r="C34" s="60"/>
      <c r="D34" s="60"/>
      <c r="E34" s="60"/>
      <c r="F34" s="60"/>
      <c r="G34" s="60"/>
      <c r="H34" s="60"/>
      <c r="I34" s="60"/>
      <c r="J34" s="60"/>
      <c r="T34" s="109" t="s">
        <v>197</v>
      </c>
      <c r="U34" s="109" t="s">
        <v>212</v>
      </c>
      <c r="V34" s="109" t="s">
        <v>196</v>
      </c>
      <c r="W34" s="112" t="s">
        <v>216</v>
      </c>
      <c r="X34" s="110" t="s">
        <v>200</v>
      </c>
      <c r="Y34" s="110" t="s">
        <v>199</v>
      </c>
      <c r="Z34" s="110" t="s">
        <v>207</v>
      </c>
      <c r="AA34" s="110" t="s">
        <v>131</v>
      </c>
      <c r="AB34" s="112" t="s">
        <v>216</v>
      </c>
      <c r="AC34" s="60"/>
      <c r="AD34" s="128" t="s">
        <v>270</v>
      </c>
    </row>
    <row r="35" spans="1:30" ht="35" customHeight="1" x14ac:dyDescent="0.2">
      <c r="A35" s="107">
        <v>9</v>
      </c>
      <c r="B35" s="107"/>
      <c r="C35" s="60"/>
      <c r="D35" s="60"/>
      <c r="E35" s="60"/>
      <c r="F35" s="60"/>
      <c r="G35" s="60"/>
      <c r="H35" s="60"/>
      <c r="I35" s="60"/>
      <c r="J35" s="60"/>
      <c r="T35" s="111" t="s">
        <v>218</v>
      </c>
      <c r="U35" s="109" t="s">
        <v>196</v>
      </c>
      <c r="V35" s="109" t="s">
        <v>197</v>
      </c>
      <c r="W35" s="112" t="s">
        <v>217</v>
      </c>
      <c r="X35" s="110" t="s">
        <v>199</v>
      </c>
      <c r="Y35" s="113" t="s">
        <v>219</v>
      </c>
      <c r="Z35" s="110" t="s">
        <v>131</v>
      </c>
      <c r="AA35" s="110" t="s">
        <v>200</v>
      </c>
      <c r="AB35" s="112" t="s">
        <v>217</v>
      </c>
      <c r="AC35" s="60"/>
      <c r="AD35" s="60" t="s">
        <v>245</v>
      </c>
    </row>
    <row r="36" spans="1:30" ht="35" customHeight="1" x14ac:dyDescent="0.2">
      <c r="A36" s="103">
        <v>930</v>
      </c>
      <c r="B36" s="52"/>
      <c r="C36" s="60"/>
      <c r="D36" s="60"/>
      <c r="E36" s="60"/>
      <c r="F36" s="60"/>
      <c r="G36" s="60"/>
      <c r="H36" s="60"/>
      <c r="I36" s="60"/>
      <c r="J36" s="60"/>
      <c r="T36" s="109" t="s">
        <v>212</v>
      </c>
      <c r="U36" s="109" t="s">
        <v>196</v>
      </c>
      <c r="V36" s="109" t="s">
        <v>197</v>
      </c>
      <c r="W36" s="112" t="s">
        <v>396</v>
      </c>
      <c r="X36" s="110" t="s">
        <v>199</v>
      </c>
      <c r="Y36" s="110" t="s">
        <v>207</v>
      </c>
      <c r="Z36" s="110" t="s">
        <v>131</v>
      </c>
      <c r="AA36" s="110" t="s">
        <v>200</v>
      </c>
      <c r="AB36" s="112" t="s">
        <v>396</v>
      </c>
      <c r="AC36" s="60"/>
      <c r="AD36" s="60"/>
    </row>
    <row r="37" spans="1:30" ht="35" customHeight="1" x14ac:dyDescent="0.2">
      <c r="A37" s="52">
        <v>10</v>
      </c>
      <c r="B37" s="52"/>
      <c r="C37" s="60"/>
      <c r="D37" s="60"/>
      <c r="E37" s="60"/>
      <c r="F37" s="60"/>
      <c r="G37" s="60"/>
      <c r="H37" s="60"/>
      <c r="I37" s="60"/>
      <c r="J37" s="60"/>
      <c r="T37" s="102" t="s">
        <v>245</v>
      </c>
      <c r="U37" s="102" t="s">
        <v>245</v>
      </c>
      <c r="V37" s="102" t="s">
        <v>245</v>
      </c>
      <c r="W37" s="102" t="s">
        <v>245</v>
      </c>
      <c r="X37" s="102" t="s">
        <v>245</v>
      </c>
      <c r="Y37" s="102" t="s">
        <v>245</v>
      </c>
      <c r="Z37" s="102" t="s">
        <v>245</v>
      </c>
      <c r="AA37" s="102" t="s">
        <v>245</v>
      </c>
      <c r="AB37" s="102" t="s">
        <v>245</v>
      </c>
      <c r="AC37" s="60"/>
      <c r="AD37" s="60"/>
    </row>
    <row r="38" spans="1:30" ht="35" customHeight="1" x14ac:dyDescent="0.2">
      <c r="A38" s="103">
        <v>1030</v>
      </c>
      <c r="B38" s="52"/>
      <c r="C38" s="60"/>
      <c r="D38" s="60"/>
      <c r="E38" s="60"/>
      <c r="F38" s="60"/>
      <c r="G38" s="60"/>
      <c r="H38" s="60"/>
      <c r="I38" s="60"/>
      <c r="J38" s="60"/>
      <c r="AC38" s="60"/>
      <c r="AD38" s="60"/>
    </row>
    <row r="39" spans="1:30" ht="35" customHeight="1" x14ac:dyDescent="0.2">
      <c r="A39" s="52">
        <v>11</v>
      </c>
      <c r="B39" s="52"/>
      <c r="C39" s="60"/>
      <c r="D39" s="60"/>
      <c r="E39" s="60"/>
      <c r="F39" s="60"/>
      <c r="G39" s="60"/>
      <c r="H39" s="60"/>
      <c r="I39" s="60"/>
      <c r="J39" s="60"/>
      <c r="K39" s="60"/>
      <c r="L39" s="60"/>
      <c r="AC39" s="60"/>
      <c r="AD39" s="60"/>
    </row>
    <row r="40" spans="1:30" ht="35" customHeight="1" x14ac:dyDescent="0.2">
      <c r="A40" s="103">
        <v>1130</v>
      </c>
      <c r="B40" s="52"/>
      <c r="C40" s="60"/>
      <c r="D40" s="60"/>
      <c r="E40" s="60"/>
      <c r="F40" s="60"/>
      <c r="G40" s="60"/>
      <c r="H40" s="60"/>
      <c r="I40" s="60"/>
      <c r="J40" s="60"/>
      <c r="K40" s="60"/>
      <c r="L40" s="60"/>
      <c r="AC40" s="60"/>
      <c r="AD40" s="60"/>
    </row>
    <row r="41" spans="1:30" ht="35" customHeight="1" x14ac:dyDescent="0.2">
      <c r="A41" s="52">
        <v>12</v>
      </c>
      <c r="B41" s="52"/>
      <c r="C41" s="60"/>
      <c r="D41" s="60"/>
      <c r="E41" s="60"/>
      <c r="F41" s="60"/>
      <c r="G41" s="60"/>
      <c r="H41" s="60"/>
      <c r="I41" s="60"/>
      <c r="J41" s="60"/>
      <c r="K41" s="60"/>
      <c r="L41" s="60"/>
      <c r="AC41" s="60"/>
      <c r="AD41" s="60"/>
    </row>
  </sheetData>
  <mergeCells count="16">
    <mergeCell ref="E8:E10"/>
    <mergeCell ref="B1:D1"/>
    <mergeCell ref="F1:I1"/>
    <mergeCell ref="K1:M1"/>
    <mergeCell ref="O1:R1"/>
    <mergeCell ref="J8:J10"/>
    <mergeCell ref="T1:V1"/>
    <mergeCell ref="X1:AA1"/>
    <mergeCell ref="AE24:AJ24"/>
    <mergeCell ref="AE25:AJ25"/>
    <mergeCell ref="AE26:AJ26"/>
    <mergeCell ref="W28:W30"/>
    <mergeCell ref="AB28:AB30"/>
    <mergeCell ref="AE28:AJ28"/>
    <mergeCell ref="AE29:AJ29"/>
    <mergeCell ref="AE30:AJ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9999-A516-684A-A632-5FA0E01EAABD}">
  <dimension ref="A1:AP41"/>
  <sheetViews>
    <sheetView topLeftCell="L7" zoomScale="81" workbookViewId="0">
      <selection activeCell="AE15" sqref="AE15:AJ15"/>
    </sheetView>
  </sheetViews>
  <sheetFormatPr baseColWidth="10" defaultColWidth="9.1640625" defaultRowHeight="35" customHeight="1" x14ac:dyDescent="0.2"/>
  <cols>
    <col min="1" max="11" width="9.1640625" style="104"/>
    <col min="12" max="12" width="9.33203125" style="104" customWidth="1"/>
    <col min="13" max="16384" width="9.1640625" style="104"/>
  </cols>
  <sheetData>
    <row r="1" spans="1:42" ht="65" customHeight="1" x14ac:dyDescent="0.2">
      <c r="B1" s="348" t="s">
        <v>214</v>
      </c>
      <c r="C1" s="348"/>
      <c r="D1" s="348"/>
      <c r="E1" s="105" t="s">
        <v>216</v>
      </c>
      <c r="F1" s="346" t="s">
        <v>213</v>
      </c>
      <c r="G1" s="347"/>
      <c r="H1" s="347"/>
      <c r="I1" s="347"/>
      <c r="J1" s="106"/>
      <c r="K1" s="348" t="s">
        <v>214</v>
      </c>
      <c r="L1" s="348"/>
      <c r="M1" s="348"/>
      <c r="N1" s="105" t="s">
        <v>216</v>
      </c>
      <c r="O1" s="346" t="s">
        <v>213</v>
      </c>
      <c r="P1" s="347"/>
      <c r="Q1" s="347"/>
      <c r="R1" s="347"/>
      <c r="S1" s="106"/>
      <c r="T1" s="348" t="s">
        <v>214</v>
      </c>
      <c r="U1" s="348"/>
      <c r="V1" s="348"/>
      <c r="W1" s="105" t="s">
        <v>216</v>
      </c>
      <c r="X1" s="346" t="s">
        <v>213</v>
      </c>
      <c r="Y1" s="347"/>
      <c r="Z1" s="347"/>
      <c r="AA1" s="347"/>
      <c r="AB1" s="106"/>
      <c r="AC1" s="134" t="s">
        <v>286</v>
      </c>
      <c r="AD1" s="134" t="s">
        <v>287</v>
      </c>
      <c r="AE1" s="134" t="s">
        <v>280</v>
      </c>
      <c r="AF1" s="134" t="s">
        <v>281</v>
      </c>
      <c r="AG1" s="134" t="s">
        <v>282</v>
      </c>
      <c r="AH1" s="134" t="s">
        <v>283</v>
      </c>
      <c r="AI1" s="134" t="s">
        <v>284</v>
      </c>
      <c r="AJ1" s="134" t="s">
        <v>285</v>
      </c>
      <c r="AK1" s="134" t="s">
        <v>288</v>
      </c>
      <c r="AL1" s="134" t="s">
        <v>289</v>
      </c>
      <c r="AM1" s="134" t="s">
        <v>290</v>
      </c>
      <c r="AN1" s="134" t="s">
        <v>291</v>
      </c>
      <c r="AO1" s="134" t="s">
        <v>292</v>
      </c>
      <c r="AP1" s="134" t="s">
        <v>293</v>
      </c>
    </row>
    <row r="2" spans="1:42" ht="35" customHeight="1" x14ac:dyDescent="0.2">
      <c r="A2" s="52" t="s">
        <v>77</v>
      </c>
      <c r="B2" s="102" t="s">
        <v>198</v>
      </c>
      <c r="C2" s="102" t="s">
        <v>201</v>
      </c>
      <c r="D2" s="102" t="s">
        <v>202</v>
      </c>
      <c r="E2" s="102" t="s">
        <v>208</v>
      </c>
      <c r="F2" s="102" t="s">
        <v>203</v>
      </c>
      <c r="G2" s="60" t="s">
        <v>204</v>
      </c>
      <c r="H2" s="60" t="s">
        <v>205</v>
      </c>
      <c r="I2" s="60" t="s">
        <v>206</v>
      </c>
      <c r="J2" s="60"/>
      <c r="K2" s="60" t="s">
        <v>220</v>
      </c>
      <c r="L2" s="60" t="s">
        <v>221</v>
      </c>
      <c r="M2" s="60" t="s">
        <v>222</v>
      </c>
      <c r="N2" s="60" t="s">
        <v>223</v>
      </c>
      <c r="O2" s="60" t="s">
        <v>224</v>
      </c>
      <c r="P2" s="60" t="s">
        <v>225</v>
      </c>
      <c r="Q2" s="60" t="s">
        <v>226</v>
      </c>
      <c r="R2" s="60" t="s">
        <v>227</v>
      </c>
      <c r="S2" s="60"/>
      <c r="T2" s="60" t="s">
        <v>228</v>
      </c>
      <c r="U2" s="60" t="s">
        <v>229</v>
      </c>
      <c r="V2" s="60" t="s">
        <v>230</v>
      </c>
      <c r="W2" s="60" t="s">
        <v>239</v>
      </c>
      <c r="X2" s="60" t="s">
        <v>240</v>
      </c>
      <c r="Y2" s="60" t="s">
        <v>241</v>
      </c>
      <c r="Z2" s="60" t="s">
        <v>242</v>
      </c>
      <c r="AA2" s="60" t="s">
        <v>243</v>
      </c>
      <c r="AB2" s="60"/>
      <c r="AC2" s="60"/>
      <c r="AD2" s="60"/>
      <c r="AE2" s="60"/>
      <c r="AF2" s="60"/>
    </row>
    <row r="3" spans="1:42" ht="35" customHeight="1" x14ac:dyDescent="0.2">
      <c r="A3" s="52">
        <v>5</v>
      </c>
      <c r="B3" s="52"/>
      <c r="C3" s="102"/>
      <c r="D3" s="102"/>
      <c r="E3" s="102"/>
      <c r="F3" s="102"/>
      <c r="G3" s="102"/>
      <c r="H3" s="60"/>
      <c r="I3" s="60"/>
      <c r="J3" s="60"/>
      <c r="K3" s="60"/>
      <c r="L3" s="60"/>
      <c r="AC3" s="60"/>
      <c r="AD3" s="60"/>
    </row>
    <row r="4" spans="1:42" ht="35" customHeight="1" x14ac:dyDescent="0.2">
      <c r="A4" s="103">
        <v>530</v>
      </c>
      <c r="B4" s="52"/>
      <c r="C4" s="102"/>
      <c r="D4" s="102"/>
      <c r="E4" s="102"/>
      <c r="F4" s="102"/>
      <c r="G4" s="102"/>
      <c r="H4" s="60"/>
      <c r="I4" s="60"/>
      <c r="J4" s="60"/>
      <c r="K4" s="60"/>
      <c r="L4" s="60"/>
      <c r="AC4" s="60"/>
      <c r="AD4" s="60"/>
    </row>
    <row r="5" spans="1:42" ht="35" customHeight="1" x14ac:dyDescent="0.2">
      <c r="A5" s="52">
        <v>6</v>
      </c>
      <c r="B5" s="52"/>
      <c r="C5" s="102"/>
      <c r="D5" s="102"/>
      <c r="E5" s="102"/>
      <c r="F5" s="102"/>
      <c r="G5" s="102"/>
      <c r="H5" s="60"/>
      <c r="I5" s="60"/>
      <c r="J5" s="60"/>
      <c r="K5" s="60"/>
      <c r="L5" s="60"/>
      <c r="AC5" s="60"/>
      <c r="AD5" s="60"/>
    </row>
    <row r="6" spans="1:42" ht="35" customHeight="1" x14ac:dyDescent="0.2">
      <c r="A6" s="103">
        <v>630</v>
      </c>
      <c r="B6" s="109" t="s">
        <v>249</v>
      </c>
      <c r="C6" s="109" t="s">
        <v>249</v>
      </c>
      <c r="D6" s="109" t="s">
        <v>249</v>
      </c>
      <c r="E6" s="355" t="s">
        <v>216</v>
      </c>
      <c r="F6" s="110" t="s">
        <v>249</v>
      </c>
      <c r="G6" s="110" t="s">
        <v>249</v>
      </c>
      <c r="H6" s="110" t="s">
        <v>249</v>
      </c>
      <c r="I6" s="110" t="s">
        <v>249</v>
      </c>
      <c r="J6" s="355" t="s">
        <v>216</v>
      </c>
      <c r="K6" s="60"/>
      <c r="L6" s="60"/>
      <c r="AC6" s="144" t="s">
        <v>278</v>
      </c>
      <c r="AD6" s="60"/>
    </row>
    <row r="7" spans="1:42" ht="35" customHeight="1" x14ac:dyDescent="0.2">
      <c r="A7" s="107">
        <v>7</v>
      </c>
      <c r="B7" s="109" t="s">
        <v>211</v>
      </c>
      <c r="C7" s="109" t="s">
        <v>196</v>
      </c>
      <c r="D7" s="109" t="s">
        <v>197</v>
      </c>
      <c r="E7" s="355"/>
      <c r="F7" s="110" t="s">
        <v>207</v>
      </c>
      <c r="G7" s="110" t="s">
        <v>131</v>
      </c>
      <c r="H7" s="110" t="s">
        <v>200</v>
      </c>
      <c r="I7" s="110" t="s">
        <v>199</v>
      </c>
      <c r="J7" s="355"/>
      <c r="K7" s="60"/>
      <c r="L7" s="60"/>
      <c r="AC7" s="126" t="s">
        <v>270</v>
      </c>
      <c r="AD7" s="60"/>
    </row>
    <row r="8" spans="1:42" ht="35" customHeight="1" x14ac:dyDescent="0.2">
      <c r="A8" s="108">
        <v>730</v>
      </c>
      <c r="B8" s="109" t="s">
        <v>212</v>
      </c>
      <c r="C8" s="109" t="s">
        <v>196</v>
      </c>
      <c r="D8" s="109" t="s">
        <v>197</v>
      </c>
      <c r="E8" s="355"/>
      <c r="F8" s="110" t="s">
        <v>207</v>
      </c>
      <c r="G8" s="110" t="s">
        <v>131</v>
      </c>
      <c r="H8" s="110" t="s">
        <v>200</v>
      </c>
      <c r="I8" s="110" t="s">
        <v>199</v>
      </c>
      <c r="J8" s="355"/>
      <c r="K8" s="60"/>
      <c r="L8" s="60"/>
      <c r="AC8" s="126" t="s">
        <v>270</v>
      </c>
      <c r="AD8" s="130"/>
    </row>
    <row r="9" spans="1:42" ht="35" customHeight="1" x14ac:dyDescent="0.2">
      <c r="A9" s="107">
        <v>8</v>
      </c>
      <c r="B9" s="109" t="s">
        <v>196</v>
      </c>
      <c r="C9" s="109" t="s">
        <v>197</v>
      </c>
      <c r="D9" s="111" t="s">
        <v>218</v>
      </c>
      <c r="E9" s="112" t="s">
        <v>217</v>
      </c>
      <c r="F9" s="110" t="s">
        <v>131</v>
      </c>
      <c r="G9" s="110" t="s">
        <v>200</v>
      </c>
      <c r="H9" s="110" t="s">
        <v>199</v>
      </c>
      <c r="I9" s="113" t="s">
        <v>219</v>
      </c>
      <c r="J9" s="112" t="s">
        <v>217</v>
      </c>
      <c r="K9" s="60"/>
      <c r="L9" s="60"/>
      <c r="AC9" s="126" t="s">
        <v>270</v>
      </c>
      <c r="AD9" s="130"/>
    </row>
    <row r="10" spans="1:42" ht="35" customHeight="1" x14ac:dyDescent="0.2">
      <c r="A10" s="108">
        <v>830</v>
      </c>
      <c r="B10" s="109" t="s">
        <v>196</v>
      </c>
      <c r="C10" s="109" t="s">
        <v>197</v>
      </c>
      <c r="D10" s="109" t="s">
        <v>212</v>
      </c>
      <c r="E10" s="112" t="s">
        <v>216</v>
      </c>
      <c r="F10" s="110" t="s">
        <v>131</v>
      </c>
      <c r="G10" s="110" t="s">
        <v>200</v>
      </c>
      <c r="H10" s="110" t="s">
        <v>199</v>
      </c>
      <c r="I10" s="110" t="s">
        <v>207</v>
      </c>
      <c r="J10" s="112" t="s">
        <v>216</v>
      </c>
      <c r="K10" s="60"/>
      <c r="L10" s="60">
        <v>40.5</v>
      </c>
      <c r="M10" s="104">
        <v>48</v>
      </c>
      <c r="N10" s="104">
        <v>40.5</v>
      </c>
      <c r="O10" s="104">
        <v>6.5</v>
      </c>
      <c r="P10" s="104">
        <v>7</v>
      </c>
      <c r="Q10" s="104">
        <v>16</v>
      </c>
      <c r="R10" s="104">
        <v>11</v>
      </c>
      <c r="AC10" s="126" t="s">
        <v>270</v>
      </c>
      <c r="AD10" s="130"/>
    </row>
    <row r="11" spans="1:42" ht="35" customHeight="1" x14ac:dyDescent="0.2">
      <c r="A11" s="107">
        <v>9</v>
      </c>
      <c r="B11" s="109" t="s">
        <v>197</v>
      </c>
      <c r="C11" s="111" t="s">
        <v>218</v>
      </c>
      <c r="D11" s="109" t="s">
        <v>196</v>
      </c>
      <c r="E11" s="112" t="s">
        <v>217</v>
      </c>
      <c r="F11" s="110" t="s">
        <v>200</v>
      </c>
      <c r="G11" s="110" t="s">
        <v>199</v>
      </c>
      <c r="H11" s="146" t="s">
        <v>207</v>
      </c>
      <c r="I11" s="110" t="s">
        <v>131</v>
      </c>
      <c r="J11" s="112" t="s">
        <v>217</v>
      </c>
      <c r="K11" s="60"/>
      <c r="L11" s="60"/>
      <c r="AC11" s="138" t="s">
        <v>244</v>
      </c>
      <c r="AD11" s="132"/>
      <c r="AE11" s="199" t="s">
        <v>389</v>
      </c>
      <c r="AF11" s="199" t="s">
        <v>389</v>
      </c>
      <c r="AG11" s="199" t="s">
        <v>389</v>
      </c>
      <c r="AH11" s="199" t="s">
        <v>389</v>
      </c>
      <c r="AI11" s="199" t="s">
        <v>389</v>
      </c>
      <c r="AJ11" s="199" t="s">
        <v>389</v>
      </c>
    </row>
    <row r="12" spans="1:42" ht="35" customHeight="1" x14ac:dyDescent="0.2">
      <c r="A12" s="108">
        <v>930</v>
      </c>
      <c r="B12" s="109" t="s">
        <v>197</v>
      </c>
      <c r="C12" s="109" t="s">
        <v>212</v>
      </c>
      <c r="D12" s="109" t="s">
        <v>196</v>
      </c>
      <c r="E12" s="112" t="s">
        <v>216</v>
      </c>
      <c r="F12" s="110" t="s">
        <v>200</v>
      </c>
      <c r="G12" s="110" t="s">
        <v>199</v>
      </c>
      <c r="H12" s="113" t="s">
        <v>219</v>
      </c>
      <c r="I12" s="110" t="s">
        <v>131</v>
      </c>
      <c r="J12" s="112" t="s">
        <v>216</v>
      </c>
      <c r="K12" s="60"/>
      <c r="L12" s="60"/>
      <c r="AC12" s="126" t="s">
        <v>270</v>
      </c>
      <c r="AD12" s="130"/>
      <c r="AE12" s="349" t="s">
        <v>390</v>
      </c>
      <c r="AF12" s="350"/>
      <c r="AG12" s="350"/>
      <c r="AH12" s="350"/>
      <c r="AI12" s="350"/>
      <c r="AJ12" s="351"/>
    </row>
    <row r="13" spans="1:42" ht="35" customHeight="1" x14ac:dyDescent="0.2">
      <c r="A13" s="107">
        <v>10</v>
      </c>
      <c r="B13" s="111" t="s">
        <v>218</v>
      </c>
      <c r="C13" s="109" t="s">
        <v>196</v>
      </c>
      <c r="D13" s="109" t="s">
        <v>197</v>
      </c>
      <c r="E13" s="112" t="s">
        <v>217</v>
      </c>
      <c r="F13" s="110" t="s">
        <v>199</v>
      </c>
      <c r="G13" s="113" t="s">
        <v>219</v>
      </c>
      <c r="H13" s="110" t="s">
        <v>131</v>
      </c>
      <c r="I13" s="110" t="s">
        <v>200</v>
      </c>
      <c r="J13" s="112" t="s">
        <v>217</v>
      </c>
      <c r="K13" s="60"/>
      <c r="L13" s="60"/>
      <c r="AC13" s="126" t="s">
        <v>270</v>
      </c>
      <c r="AD13" s="130"/>
      <c r="AE13" s="352" t="s">
        <v>391</v>
      </c>
      <c r="AF13" s="353"/>
      <c r="AG13" s="353"/>
      <c r="AH13" s="353"/>
      <c r="AI13" s="353"/>
      <c r="AJ13" s="354"/>
    </row>
    <row r="14" spans="1:42" ht="35" customHeight="1" x14ac:dyDescent="0.2">
      <c r="A14" s="108">
        <v>1030</v>
      </c>
      <c r="B14" s="109" t="s">
        <v>212</v>
      </c>
      <c r="C14" s="109" t="s">
        <v>196</v>
      </c>
      <c r="D14" s="109" t="s">
        <v>197</v>
      </c>
      <c r="E14" s="112" t="s">
        <v>396</v>
      </c>
      <c r="F14" s="110" t="s">
        <v>199</v>
      </c>
      <c r="G14" s="110" t="s">
        <v>207</v>
      </c>
      <c r="H14" s="110" t="s">
        <v>131</v>
      </c>
      <c r="I14" s="110" t="s">
        <v>200</v>
      </c>
      <c r="J14" s="112" t="s">
        <v>396</v>
      </c>
      <c r="K14" s="109" t="s">
        <v>252</v>
      </c>
      <c r="L14" s="109" t="s">
        <v>253</v>
      </c>
      <c r="M14" s="109" t="s">
        <v>254</v>
      </c>
      <c r="N14" s="120" t="s">
        <v>396</v>
      </c>
      <c r="O14" s="110" t="s">
        <v>254</v>
      </c>
      <c r="P14" s="110" t="s">
        <v>254</v>
      </c>
      <c r="Q14" s="110" t="s">
        <v>254</v>
      </c>
      <c r="R14" s="110" t="s">
        <v>254</v>
      </c>
      <c r="S14" s="120" t="s">
        <v>396</v>
      </c>
      <c r="AC14" s="126" t="s">
        <v>270</v>
      </c>
      <c r="AD14" s="130"/>
      <c r="AE14" s="352" t="s">
        <v>391</v>
      </c>
      <c r="AF14" s="353"/>
      <c r="AG14" s="353"/>
      <c r="AH14" s="353"/>
      <c r="AI14" s="353"/>
      <c r="AJ14" s="354"/>
    </row>
    <row r="15" spans="1:42" ht="35" customHeight="1" x14ac:dyDescent="0.2">
      <c r="A15" s="107">
        <v>11</v>
      </c>
      <c r="B15" s="102" t="s">
        <v>248</v>
      </c>
      <c r="C15" s="102" t="s">
        <v>248</v>
      </c>
      <c r="D15" s="102" t="s">
        <v>248</v>
      </c>
      <c r="E15" s="102" t="s">
        <v>248</v>
      </c>
      <c r="F15" s="102" t="s">
        <v>248</v>
      </c>
      <c r="G15" s="102" t="s">
        <v>248</v>
      </c>
      <c r="H15" s="138" t="s">
        <v>244</v>
      </c>
      <c r="I15" s="138" t="s">
        <v>244</v>
      </c>
      <c r="J15" s="102" t="s">
        <v>248</v>
      </c>
      <c r="K15" s="119" t="s">
        <v>211</v>
      </c>
      <c r="L15" s="109" t="s">
        <v>196</v>
      </c>
      <c r="M15" s="109" t="s">
        <v>197</v>
      </c>
      <c r="N15" s="113" t="s">
        <v>255</v>
      </c>
      <c r="O15" s="113" t="s">
        <v>209</v>
      </c>
      <c r="P15" s="110" t="s">
        <v>131</v>
      </c>
      <c r="Q15" s="110" t="s">
        <v>200</v>
      </c>
      <c r="R15" s="110" t="s">
        <v>199</v>
      </c>
      <c r="S15" s="113" t="s">
        <v>255</v>
      </c>
      <c r="T15" s="125" t="s">
        <v>257</v>
      </c>
      <c r="AC15" s="138" t="s">
        <v>244</v>
      </c>
      <c r="AD15" s="130"/>
      <c r="AE15" s="270" t="s">
        <v>450</v>
      </c>
      <c r="AF15" s="270" t="s">
        <v>450</v>
      </c>
      <c r="AG15" s="270" t="s">
        <v>450</v>
      </c>
      <c r="AH15" s="270" t="s">
        <v>450</v>
      </c>
      <c r="AI15" s="270" t="s">
        <v>450</v>
      </c>
      <c r="AJ15" s="270" t="s">
        <v>450</v>
      </c>
    </row>
    <row r="16" spans="1:42" ht="35" customHeight="1" x14ac:dyDescent="0.2">
      <c r="A16" s="108">
        <v>1130</v>
      </c>
      <c r="B16" s="102"/>
      <c r="C16" s="102"/>
      <c r="D16" s="121"/>
      <c r="E16" s="201"/>
      <c r="F16" s="201"/>
      <c r="G16" s="201"/>
      <c r="H16" s="189" t="s">
        <v>129</v>
      </c>
      <c r="I16" s="189" t="s">
        <v>129</v>
      </c>
      <c r="J16" s="201"/>
      <c r="K16" s="109" t="s">
        <v>212</v>
      </c>
      <c r="L16" s="109" t="s">
        <v>196</v>
      </c>
      <c r="M16" s="109" t="s">
        <v>197</v>
      </c>
      <c r="N16" s="113" t="s">
        <v>256</v>
      </c>
      <c r="O16" s="110" t="s">
        <v>207</v>
      </c>
      <c r="P16" s="113" t="s">
        <v>256</v>
      </c>
      <c r="Q16" s="110" t="s">
        <v>200</v>
      </c>
      <c r="R16" s="110" t="s">
        <v>199</v>
      </c>
      <c r="S16" s="113" t="s">
        <v>256</v>
      </c>
      <c r="AC16" s="126" t="s">
        <v>270</v>
      </c>
      <c r="AD16" s="130"/>
      <c r="AE16" s="349" t="s">
        <v>392</v>
      </c>
      <c r="AF16" s="350"/>
      <c r="AG16" s="350"/>
      <c r="AH16" s="350"/>
      <c r="AI16" s="350"/>
      <c r="AJ16" s="351"/>
    </row>
    <row r="17" spans="1:42" ht="35" customHeight="1" x14ac:dyDescent="0.2">
      <c r="A17" s="107">
        <v>12</v>
      </c>
      <c r="B17" s="102"/>
      <c r="C17" s="102"/>
      <c r="D17" s="102"/>
      <c r="E17" s="201"/>
      <c r="F17" s="201"/>
      <c r="G17" s="201"/>
      <c r="H17" s="112" t="s">
        <v>331</v>
      </c>
      <c r="I17" s="112" t="s">
        <v>331</v>
      </c>
      <c r="J17" s="201"/>
      <c r="K17" s="109" t="s">
        <v>196</v>
      </c>
      <c r="L17" s="109" t="s">
        <v>197</v>
      </c>
      <c r="M17" s="111" t="s">
        <v>244</v>
      </c>
      <c r="N17" s="111" t="s">
        <v>246</v>
      </c>
      <c r="O17" s="110" t="s">
        <v>131</v>
      </c>
      <c r="P17" s="110" t="s">
        <v>200</v>
      </c>
      <c r="Q17" s="110" t="s">
        <v>199</v>
      </c>
      <c r="R17" s="124" t="s">
        <v>244</v>
      </c>
      <c r="S17" s="111" t="s">
        <v>246</v>
      </c>
      <c r="T17" s="125" t="s">
        <v>257</v>
      </c>
      <c r="AC17" s="19" t="s">
        <v>276</v>
      </c>
      <c r="AD17" s="130"/>
      <c r="AE17" s="352" t="s">
        <v>393</v>
      </c>
      <c r="AF17" s="353"/>
      <c r="AG17" s="353"/>
      <c r="AH17" s="353"/>
      <c r="AI17" s="353"/>
      <c r="AJ17" s="354"/>
    </row>
    <row r="18" spans="1:42" ht="35" customHeight="1" x14ac:dyDescent="0.2">
      <c r="A18" s="108">
        <v>1230</v>
      </c>
      <c r="B18" s="107"/>
      <c r="C18" s="102"/>
      <c r="D18" s="102"/>
      <c r="E18" s="201"/>
      <c r="F18" s="201"/>
      <c r="G18" s="201"/>
      <c r="H18" s="112" t="s">
        <v>331</v>
      </c>
      <c r="I18" s="112" t="s">
        <v>331</v>
      </c>
      <c r="J18" s="201"/>
      <c r="K18" s="109" t="s">
        <v>196</v>
      </c>
      <c r="L18" s="109" t="s">
        <v>197</v>
      </c>
      <c r="M18" s="109" t="s">
        <v>212</v>
      </c>
      <c r="N18" s="116"/>
      <c r="O18" s="110" t="s">
        <v>131</v>
      </c>
      <c r="P18" s="110" t="s">
        <v>200</v>
      </c>
      <c r="Q18" s="110" t="s">
        <v>199</v>
      </c>
      <c r="R18" s="110" t="s">
        <v>207</v>
      </c>
      <c r="S18" s="116"/>
      <c r="AC18" s="126" t="s">
        <v>270</v>
      </c>
      <c r="AD18" s="130"/>
      <c r="AE18" s="352" t="s">
        <v>393</v>
      </c>
      <c r="AF18" s="353"/>
      <c r="AG18" s="353"/>
      <c r="AH18" s="353"/>
      <c r="AI18" s="353"/>
      <c r="AJ18" s="354"/>
    </row>
    <row r="19" spans="1:42" ht="35" customHeight="1" x14ac:dyDescent="0.2">
      <c r="A19" s="107">
        <v>1</v>
      </c>
      <c r="B19" s="107"/>
      <c r="C19" s="102"/>
      <c r="D19" s="102"/>
      <c r="E19" s="201"/>
      <c r="F19" s="201"/>
      <c r="G19" s="201"/>
      <c r="H19" s="102" t="s">
        <v>346</v>
      </c>
      <c r="I19" s="102" t="s">
        <v>346</v>
      </c>
      <c r="J19" s="201"/>
      <c r="K19" s="109" t="s">
        <v>197</v>
      </c>
      <c r="L19" s="111" t="s">
        <v>244</v>
      </c>
      <c r="M19" s="109" t="s">
        <v>196</v>
      </c>
      <c r="N19" s="111" t="s">
        <v>246</v>
      </c>
      <c r="O19" s="110" t="s">
        <v>200</v>
      </c>
      <c r="P19" s="110" t="s">
        <v>199</v>
      </c>
      <c r="Q19" s="124" t="s">
        <v>244</v>
      </c>
      <c r="R19" s="110" t="s">
        <v>131</v>
      </c>
      <c r="S19" s="111" t="s">
        <v>246</v>
      </c>
      <c r="T19" s="125" t="s">
        <v>257</v>
      </c>
      <c r="AC19" s="142" t="s">
        <v>273</v>
      </c>
      <c r="AD19" s="130"/>
      <c r="AE19" s="200"/>
      <c r="AF19" s="200"/>
      <c r="AG19" s="200"/>
      <c r="AH19" s="200"/>
      <c r="AI19" s="200"/>
      <c r="AJ19" s="200"/>
    </row>
    <row r="20" spans="1:42" ht="35" customHeight="1" x14ac:dyDescent="0.2">
      <c r="A20" s="108">
        <v>130</v>
      </c>
      <c r="B20" s="107"/>
      <c r="C20" s="102"/>
      <c r="D20" s="102"/>
      <c r="E20" s="201"/>
      <c r="F20" s="201"/>
      <c r="G20" s="201"/>
      <c r="H20" s="201"/>
      <c r="I20" s="201"/>
      <c r="J20" s="201"/>
      <c r="K20" s="109" t="s">
        <v>197</v>
      </c>
      <c r="L20" s="109" t="s">
        <v>212</v>
      </c>
      <c r="M20" s="109" t="s">
        <v>196</v>
      </c>
      <c r="N20" s="113" t="s">
        <v>256</v>
      </c>
      <c r="O20" s="110" t="s">
        <v>200</v>
      </c>
      <c r="P20" s="110" t="s">
        <v>199</v>
      </c>
      <c r="Q20" s="110" t="s">
        <v>207</v>
      </c>
      <c r="R20" s="113" t="s">
        <v>256</v>
      </c>
      <c r="S20" s="113" t="s">
        <v>256</v>
      </c>
      <c r="AC20" s="142" t="s">
        <v>273</v>
      </c>
      <c r="AD20" s="126" t="s">
        <v>266</v>
      </c>
      <c r="AE20" s="200"/>
      <c r="AF20" s="200"/>
      <c r="AG20" s="200"/>
      <c r="AH20" s="200"/>
      <c r="AI20" s="200"/>
      <c r="AJ20" s="200"/>
    </row>
    <row r="21" spans="1:42" ht="35" customHeight="1" x14ac:dyDescent="0.2">
      <c r="A21" s="107">
        <v>2</v>
      </c>
      <c r="B21" s="107"/>
      <c r="C21" s="102"/>
      <c r="D21" s="102"/>
      <c r="E21" s="201"/>
      <c r="F21" s="201"/>
      <c r="G21" s="201"/>
      <c r="H21" s="201"/>
      <c r="I21" s="201"/>
      <c r="J21" s="201"/>
      <c r="K21" s="111" t="s">
        <v>244</v>
      </c>
      <c r="L21" s="109" t="s">
        <v>196</v>
      </c>
      <c r="M21" s="109" t="s">
        <v>197</v>
      </c>
      <c r="N21" s="111" t="s">
        <v>246</v>
      </c>
      <c r="O21" s="110" t="s">
        <v>199</v>
      </c>
      <c r="P21" s="124" t="s">
        <v>244</v>
      </c>
      <c r="Q21" s="110" t="s">
        <v>131</v>
      </c>
      <c r="R21" s="110" t="s">
        <v>200</v>
      </c>
      <c r="S21" s="111" t="s">
        <v>246</v>
      </c>
      <c r="T21" s="125" t="s">
        <v>257</v>
      </c>
      <c r="AC21" s="117" t="s">
        <v>317</v>
      </c>
      <c r="AD21" s="188" t="s">
        <v>329</v>
      </c>
      <c r="AE21" s="200"/>
      <c r="AF21" s="200"/>
      <c r="AG21" s="200"/>
      <c r="AH21" s="200"/>
      <c r="AI21" s="200"/>
      <c r="AJ21" s="200"/>
    </row>
    <row r="22" spans="1:42" ht="35" customHeight="1" x14ac:dyDescent="0.2">
      <c r="A22" s="108">
        <v>230</v>
      </c>
      <c r="B22" s="107"/>
      <c r="C22" s="102"/>
      <c r="D22" s="102"/>
      <c r="E22" s="102"/>
      <c r="F22" s="102"/>
      <c r="G22" s="102"/>
      <c r="H22" s="102"/>
      <c r="I22" s="102"/>
      <c r="J22" s="102"/>
      <c r="K22" s="109" t="s">
        <v>212</v>
      </c>
      <c r="L22" s="109" t="s">
        <v>196</v>
      </c>
      <c r="M22" s="109" t="s">
        <v>197</v>
      </c>
      <c r="N22" s="122" t="s">
        <v>244</v>
      </c>
      <c r="O22" s="110" t="s">
        <v>199</v>
      </c>
      <c r="P22" s="110" t="s">
        <v>207</v>
      </c>
      <c r="Q22" s="110" t="s">
        <v>131</v>
      </c>
      <c r="R22" s="110" t="s">
        <v>200</v>
      </c>
      <c r="S22" s="122" t="s">
        <v>244</v>
      </c>
      <c r="AC22" s="130"/>
      <c r="AD22" s="188" t="s">
        <v>329</v>
      </c>
      <c r="AE22" s="200"/>
      <c r="AF22" s="200"/>
      <c r="AG22" s="200"/>
      <c r="AH22" s="200"/>
      <c r="AI22" s="200"/>
      <c r="AJ22" s="200"/>
    </row>
    <row r="23" spans="1:42" ht="35" customHeight="1" x14ac:dyDescent="0.2">
      <c r="A23" s="107">
        <v>3</v>
      </c>
      <c r="B23" s="107"/>
      <c r="C23" s="102"/>
      <c r="D23" s="102"/>
      <c r="E23" s="102"/>
      <c r="F23" s="102"/>
      <c r="G23" s="102"/>
      <c r="H23" s="102"/>
      <c r="I23" s="102"/>
      <c r="J23" s="102"/>
      <c r="K23" s="109" t="s">
        <v>196</v>
      </c>
      <c r="L23" s="109" t="s">
        <v>197</v>
      </c>
      <c r="M23" s="119" t="s">
        <v>211</v>
      </c>
      <c r="N23" s="123" t="s">
        <v>247</v>
      </c>
      <c r="O23" s="124" t="s">
        <v>244</v>
      </c>
      <c r="P23" s="110" t="s">
        <v>131</v>
      </c>
      <c r="Q23" s="110" t="s">
        <v>200</v>
      </c>
      <c r="R23" s="110" t="s">
        <v>199</v>
      </c>
      <c r="S23" s="123" t="s">
        <v>247</v>
      </c>
      <c r="AC23" s="130"/>
      <c r="AD23" s="188" t="s">
        <v>329</v>
      </c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</row>
    <row r="24" spans="1:42" ht="35" customHeight="1" x14ac:dyDescent="0.2">
      <c r="A24" s="114">
        <v>0.14583333333333334</v>
      </c>
      <c r="B24" s="115"/>
      <c r="C24" s="102"/>
      <c r="D24" s="102"/>
      <c r="E24" s="102"/>
      <c r="F24" s="102"/>
      <c r="G24" s="102"/>
      <c r="H24" s="102"/>
      <c r="I24" s="102"/>
      <c r="J24" s="102"/>
      <c r="K24" s="109" t="s">
        <v>196</v>
      </c>
      <c r="L24" s="109" t="s">
        <v>197</v>
      </c>
      <c r="M24" s="119" t="s">
        <v>211</v>
      </c>
      <c r="N24" s="116"/>
      <c r="O24" s="110" t="s">
        <v>207</v>
      </c>
      <c r="P24" s="110" t="s">
        <v>131</v>
      </c>
      <c r="Q24" s="110" t="s">
        <v>200</v>
      </c>
      <c r="R24" s="110" t="s">
        <v>199</v>
      </c>
      <c r="S24" s="116"/>
      <c r="AC24" s="102"/>
      <c r="AD24" s="188" t="s">
        <v>329</v>
      </c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</row>
    <row r="25" spans="1:42" ht="35" customHeight="1" x14ac:dyDescent="0.2">
      <c r="A25" s="107">
        <v>4</v>
      </c>
      <c r="B25" s="107"/>
      <c r="C25" s="60"/>
      <c r="D25" s="60"/>
      <c r="E25" s="60"/>
      <c r="F25" s="60"/>
      <c r="G25" s="60"/>
      <c r="H25" s="102"/>
      <c r="I25" s="102"/>
      <c r="J25" s="102"/>
      <c r="K25" s="109" t="s">
        <v>197</v>
      </c>
      <c r="L25" s="118" t="s">
        <v>211</v>
      </c>
      <c r="M25" s="109" t="s">
        <v>196</v>
      </c>
      <c r="N25" s="113" t="s">
        <v>256</v>
      </c>
      <c r="O25" s="113" t="s">
        <v>256</v>
      </c>
      <c r="P25" s="110" t="s">
        <v>200</v>
      </c>
      <c r="Q25" s="110" t="s">
        <v>199</v>
      </c>
      <c r="R25" s="110" t="s">
        <v>207</v>
      </c>
      <c r="S25" s="113" t="s">
        <v>256</v>
      </c>
      <c r="AC25" s="137"/>
      <c r="AD25" s="136" t="s">
        <v>271</v>
      </c>
      <c r="AE25" s="200"/>
      <c r="AF25" s="200"/>
      <c r="AG25" s="200"/>
      <c r="AH25" s="200"/>
      <c r="AI25" s="200"/>
      <c r="AJ25" s="200"/>
      <c r="AK25" s="102"/>
      <c r="AL25" s="102"/>
      <c r="AM25" s="102"/>
      <c r="AN25" s="102"/>
      <c r="AO25" s="102"/>
      <c r="AP25" s="102"/>
    </row>
    <row r="26" spans="1:42" ht="35" customHeight="1" x14ac:dyDescent="0.2">
      <c r="A26" s="114">
        <v>0.1875</v>
      </c>
      <c r="B26" s="115"/>
      <c r="C26" s="60"/>
      <c r="D26" s="60"/>
      <c r="E26" s="60"/>
      <c r="F26" s="60"/>
      <c r="G26" s="60"/>
      <c r="H26" s="102"/>
      <c r="I26" s="102"/>
      <c r="J26" s="102"/>
      <c r="K26" s="109" t="s">
        <v>197</v>
      </c>
      <c r="L26" s="119" t="s">
        <v>211</v>
      </c>
      <c r="M26" s="109" t="s">
        <v>196</v>
      </c>
      <c r="N26" s="116"/>
      <c r="O26" s="110" t="s">
        <v>131</v>
      </c>
      <c r="P26" s="110" t="s">
        <v>200</v>
      </c>
      <c r="Q26" s="110" t="s">
        <v>199</v>
      </c>
      <c r="R26" s="110" t="s">
        <v>207</v>
      </c>
      <c r="S26" s="116"/>
      <c r="T26" s="109" t="s">
        <v>296</v>
      </c>
      <c r="U26" s="109" t="s">
        <v>296</v>
      </c>
      <c r="V26" s="109" t="s">
        <v>296</v>
      </c>
      <c r="W26" s="355" t="s">
        <v>216</v>
      </c>
      <c r="X26" s="110" t="s">
        <v>296</v>
      </c>
      <c r="Y26" s="110" t="s">
        <v>296</v>
      </c>
      <c r="Z26" s="110" t="s">
        <v>296</v>
      </c>
      <c r="AA26" s="110" t="s">
        <v>296</v>
      </c>
      <c r="AB26" s="355" t="s">
        <v>216</v>
      </c>
      <c r="AC26" s="137"/>
      <c r="AD26" s="136" t="s">
        <v>271</v>
      </c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</row>
    <row r="27" spans="1:42" ht="35" customHeight="1" x14ac:dyDescent="0.2">
      <c r="A27" s="107">
        <v>5</v>
      </c>
      <c r="B27" s="107"/>
      <c r="C27" s="60"/>
      <c r="D27" s="60"/>
      <c r="E27" s="60"/>
      <c r="F27" s="60"/>
      <c r="G27" s="60"/>
      <c r="H27" s="102"/>
      <c r="I27" s="102"/>
      <c r="J27" s="102"/>
      <c r="K27" s="102" t="s">
        <v>251</v>
      </c>
      <c r="L27" s="102" t="s">
        <v>251</v>
      </c>
      <c r="M27" s="102" t="s">
        <v>251</v>
      </c>
      <c r="N27" s="102" t="s">
        <v>251</v>
      </c>
      <c r="O27" s="102" t="s">
        <v>251</v>
      </c>
      <c r="P27" s="102" t="s">
        <v>251</v>
      </c>
      <c r="Q27" s="102" t="s">
        <v>251</v>
      </c>
      <c r="R27" s="102" t="s">
        <v>251</v>
      </c>
      <c r="S27" s="102" t="s">
        <v>251</v>
      </c>
      <c r="T27" s="109" t="s">
        <v>211</v>
      </c>
      <c r="U27" s="109" t="s">
        <v>196</v>
      </c>
      <c r="V27" s="109" t="s">
        <v>197</v>
      </c>
      <c r="W27" s="355"/>
      <c r="X27" s="110" t="s">
        <v>207</v>
      </c>
      <c r="Y27" s="110" t="s">
        <v>131</v>
      </c>
      <c r="Z27" s="110" t="s">
        <v>200</v>
      </c>
      <c r="AA27" s="110" t="s">
        <v>199</v>
      </c>
      <c r="AB27" s="355"/>
      <c r="AC27" s="140"/>
      <c r="AD27" s="138" t="s">
        <v>244</v>
      </c>
      <c r="AE27" s="117"/>
      <c r="AF27" s="117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</row>
    <row r="28" spans="1:42" ht="35" customHeight="1" x14ac:dyDescent="0.2">
      <c r="A28" s="108">
        <v>530</v>
      </c>
      <c r="B28" s="107"/>
      <c r="C28" s="60"/>
      <c r="D28" s="60"/>
      <c r="E28" s="60"/>
      <c r="F28" s="60"/>
      <c r="G28" s="60"/>
      <c r="H28" s="102"/>
      <c r="I28" s="102"/>
      <c r="J28" s="102"/>
      <c r="K28" s="102"/>
      <c r="L28" s="121"/>
      <c r="M28" s="102"/>
      <c r="N28" s="102"/>
      <c r="O28" s="102"/>
      <c r="P28" s="102"/>
      <c r="Q28" s="102"/>
      <c r="R28" s="102"/>
      <c r="S28" s="102"/>
      <c r="T28" s="109" t="s">
        <v>212</v>
      </c>
      <c r="U28" s="109" t="s">
        <v>196</v>
      </c>
      <c r="V28" s="109" t="s">
        <v>197</v>
      </c>
      <c r="W28" s="355"/>
      <c r="X28" s="110" t="s">
        <v>207</v>
      </c>
      <c r="Y28" s="110" t="s">
        <v>131</v>
      </c>
      <c r="Z28" s="110" t="s">
        <v>200</v>
      </c>
      <c r="AA28" s="110" t="s">
        <v>199</v>
      </c>
      <c r="AB28" s="355"/>
      <c r="AC28" s="137"/>
      <c r="AD28" s="136" t="s">
        <v>271</v>
      </c>
      <c r="AK28" s="145"/>
      <c r="AL28" s="145"/>
      <c r="AM28" s="145"/>
      <c r="AN28" s="145"/>
      <c r="AO28" s="145"/>
      <c r="AP28" s="145"/>
    </row>
    <row r="29" spans="1:42" ht="35" customHeight="1" x14ac:dyDescent="0.2">
      <c r="A29" s="107">
        <v>6</v>
      </c>
      <c r="B29" s="107"/>
      <c r="C29" s="60"/>
      <c r="D29" s="60"/>
      <c r="E29" s="60"/>
      <c r="F29" s="60"/>
      <c r="G29" s="60"/>
      <c r="H29" s="60"/>
      <c r="I29" s="60"/>
      <c r="J29" s="60"/>
      <c r="T29" s="109" t="s">
        <v>196</v>
      </c>
      <c r="U29" s="109" t="s">
        <v>197</v>
      </c>
      <c r="V29" s="111" t="s">
        <v>218</v>
      </c>
      <c r="W29" s="112" t="s">
        <v>217</v>
      </c>
      <c r="X29" s="110" t="s">
        <v>131</v>
      </c>
      <c r="Y29" s="110" t="s">
        <v>200</v>
      </c>
      <c r="Z29" s="110" t="s">
        <v>199</v>
      </c>
      <c r="AA29" s="113" t="s">
        <v>219</v>
      </c>
      <c r="AB29" s="112" t="s">
        <v>217</v>
      </c>
      <c r="AC29" s="137"/>
      <c r="AD29" s="136" t="s">
        <v>271</v>
      </c>
      <c r="AK29" s="117"/>
      <c r="AL29" s="117"/>
      <c r="AM29" s="117"/>
      <c r="AN29" s="117"/>
      <c r="AO29" s="117"/>
      <c r="AP29" s="117"/>
    </row>
    <row r="30" spans="1:42" ht="35" customHeight="1" x14ac:dyDescent="0.2">
      <c r="A30" s="108">
        <v>630</v>
      </c>
      <c r="B30" s="107"/>
      <c r="C30" s="60"/>
      <c r="D30" s="60"/>
      <c r="E30" s="60"/>
      <c r="F30" s="60"/>
      <c r="G30" s="60"/>
      <c r="H30" s="60"/>
      <c r="I30" s="60"/>
      <c r="J30" s="60"/>
      <c r="T30" s="109" t="s">
        <v>196</v>
      </c>
      <c r="U30" s="109" t="s">
        <v>197</v>
      </c>
      <c r="V30" s="109" t="s">
        <v>212</v>
      </c>
      <c r="W30" s="112" t="s">
        <v>216</v>
      </c>
      <c r="X30" s="110" t="s">
        <v>131</v>
      </c>
      <c r="Y30" s="110" t="s">
        <v>200</v>
      </c>
      <c r="Z30" s="110" t="s">
        <v>199</v>
      </c>
      <c r="AA30" s="110" t="s">
        <v>207</v>
      </c>
      <c r="AB30" s="112" t="s">
        <v>216</v>
      </c>
      <c r="AC30" s="137"/>
      <c r="AD30" s="136" t="s">
        <v>271</v>
      </c>
    </row>
    <row r="31" spans="1:42" ht="35" customHeight="1" x14ac:dyDescent="0.2">
      <c r="A31" s="107">
        <v>7</v>
      </c>
      <c r="B31" s="107"/>
      <c r="C31" s="60"/>
      <c r="D31" s="60"/>
      <c r="E31" s="60"/>
      <c r="F31" s="60"/>
      <c r="G31" s="60"/>
      <c r="H31" s="60"/>
      <c r="I31" s="60"/>
      <c r="J31" s="60"/>
      <c r="T31" s="109" t="s">
        <v>197</v>
      </c>
      <c r="U31" s="111" t="s">
        <v>218</v>
      </c>
      <c r="V31" s="109" t="s">
        <v>196</v>
      </c>
      <c r="W31" s="112" t="s">
        <v>217</v>
      </c>
      <c r="X31" s="110" t="s">
        <v>200</v>
      </c>
      <c r="Y31" s="110" t="s">
        <v>199</v>
      </c>
      <c r="Z31" s="113" t="s">
        <v>219</v>
      </c>
      <c r="AA31" s="110" t="s">
        <v>131</v>
      </c>
      <c r="AB31" s="112" t="s">
        <v>217</v>
      </c>
      <c r="AC31" s="60"/>
      <c r="AD31" s="126" t="s">
        <v>270</v>
      </c>
    </row>
    <row r="32" spans="1:42" ht="35" customHeight="1" x14ac:dyDescent="0.2">
      <c r="A32" s="108">
        <v>730</v>
      </c>
      <c r="B32" s="107"/>
      <c r="C32" s="60"/>
      <c r="D32" s="60"/>
      <c r="E32" s="60"/>
      <c r="F32" s="60"/>
      <c r="G32" s="60"/>
      <c r="H32" s="60"/>
      <c r="I32" s="60"/>
      <c r="J32" s="60"/>
      <c r="T32" s="109" t="s">
        <v>197</v>
      </c>
      <c r="U32" s="109" t="s">
        <v>212</v>
      </c>
      <c r="V32" s="109" t="s">
        <v>196</v>
      </c>
      <c r="W32" s="112" t="s">
        <v>216</v>
      </c>
      <c r="X32" s="110" t="s">
        <v>200</v>
      </c>
      <c r="Y32" s="110" t="s">
        <v>199</v>
      </c>
      <c r="Z32" s="110" t="s">
        <v>207</v>
      </c>
      <c r="AA32" s="110" t="s">
        <v>131</v>
      </c>
      <c r="AB32" s="112" t="s">
        <v>216</v>
      </c>
      <c r="AC32" s="131"/>
      <c r="AD32" s="128" t="s">
        <v>270</v>
      </c>
    </row>
    <row r="33" spans="1:30" ht="35" customHeight="1" x14ac:dyDescent="0.2">
      <c r="A33" s="107">
        <v>8</v>
      </c>
      <c r="B33" s="107"/>
      <c r="C33" s="60"/>
      <c r="D33" s="60"/>
      <c r="E33" s="60"/>
      <c r="F33" s="60"/>
      <c r="G33" s="60"/>
      <c r="H33" s="60"/>
      <c r="I33" s="60"/>
      <c r="J33" s="60"/>
      <c r="T33" s="111" t="s">
        <v>218</v>
      </c>
      <c r="U33" s="109" t="s">
        <v>196</v>
      </c>
      <c r="V33" s="109" t="s">
        <v>197</v>
      </c>
      <c r="W33" s="112" t="s">
        <v>217</v>
      </c>
      <c r="X33" s="110" t="s">
        <v>199</v>
      </c>
      <c r="Y33" s="113" t="s">
        <v>219</v>
      </c>
      <c r="Z33" s="110" t="s">
        <v>131</v>
      </c>
      <c r="AA33" s="110" t="s">
        <v>200</v>
      </c>
      <c r="AB33" s="112" t="s">
        <v>217</v>
      </c>
      <c r="AC33" s="131"/>
      <c r="AD33" s="128" t="s">
        <v>270</v>
      </c>
    </row>
    <row r="34" spans="1:30" ht="35" customHeight="1" x14ac:dyDescent="0.2">
      <c r="A34" s="108">
        <v>830</v>
      </c>
      <c r="B34" s="107"/>
      <c r="C34" s="60"/>
      <c r="D34" s="60"/>
      <c r="E34" s="60"/>
      <c r="F34" s="60"/>
      <c r="G34" s="60"/>
      <c r="H34" s="60"/>
      <c r="I34" s="60"/>
      <c r="J34" s="60"/>
      <c r="T34" s="109" t="s">
        <v>212</v>
      </c>
      <c r="U34" s="109" t="s">
        <v>196</v>
      </c>
      <c r="V34" s="109" t="s">
        <v>197</v>
      </c>
      <c r="W34" s="112" t="s">
        <v>396</v>
      </c>
      <c r="X34" s="110" t="s">
        <v>199</v>
      </c>
      <c r="Y34" s="110" t="s">
        <v>207</v>
      </c>
      <c r="Z34" s="110" t="s">
        <v>131</v>
      </c>
      <c r="AA34" s="110" t="s">
        <v>200</v>
      </c>
      <c r="AB34" s="112" t="s">
        <v>396</v>
      </c>
      <c r="AC34" s="60"/>
      <c r="AD34" s="128" t="s">
        <v>270</v>
      </c>
    </row>
    <row r="35" spans="1:30" ht="35" customHeight="1" x14ac:dyDescent="0.2">
      <c r="A35" s="107">
        <v>9</v>
      </c>
      <c r="B35" s="107"/>
      <c r="C35" s="60"/>
      <c r="D35" s="60"/>
      <c r="E35" s="60"/>
      <c r="F35" s="60"/>
      <c r="G35" s="60"/>
      <c r="H35" s="60"/>
      <c r="I35" s="60"/>
      <c r="J35" s="60"/>
      <c r="T35" s="102" t="s">
        <v>245</v>
      </c>
      <c r="U35" s="102" t="s">
        <v>245</v>
      </c>
      <c r="V35" s="102" t="s">
        <v>245</v>
      </c>
      <c r="W35" s="102" t="s">
        <v>245</v>
      </c>
      <c r="X35" s="102" t="s">
        <v>245</v>
      </c>
      <c r="Y35" s="102" t="s">
        <v>245</v>
      </c>
      <c r="Z35" s="102" t="s">
        <v>245</v>
      </c>
      <c r="AA35" s="102" t="s">
        <v>245</v>
      </c>
      <c r="AB35" s="102" t="s">
        <v>245</v>
      </c>
      <c r="AC35" s="60"/>
      <c r="AD35" s="60" t="s">
        <v>245</v>
      </c>
    </row>
    <row r="36" spans="1:30" ht="35" customHeight="1" x14ac:dyDescent="0.2">
      <c r="A36" s="103">
        <v>930</v>
      </c>
      <c r="B36" s="52"/>
      <c r="C36" s="60"/>
      <c r="D36" s="60"/>
      <c r="E36" s="60"/>
      <c r="F36" s="60"/>
      <c r="G36" s="60"/>
      <c r="H36" s="60"/>
      <c r="I36" s="60"/>
      <c r="J36" s="60"/>
      <c r="AC36" s="60"/>
      <c r="AD36" s="60"/>
    </row>
    <row r="37" spans="1:30" ht="35" customHeight="1" x14ac:dyDescent="0.2">
      <c r="A37" s="52">
        <v>10</v>
      </c>
      <c r="B37" s="52"/>
      <c r="C37" s="60"/>
      <c r="D37" s="60"/>
      <c r="E37" s="60"/>
      <c r="F37" s="60"/>
      <c r="G37" s="60"/>
      <c r="H37" s="60"/>
      <c r="I37" s="60"/>
      <c r="J37" s="60"/>
      <c r="AC37" s="60"/>
      <c r="AD37" s="60"/>
    </row>
    <row r="38" spans="1:30" ht="35" customHeight="1" x14ac:dyDescent="0.2">
      <c r="A38" s="103">
        <v>1030</v>
      </c>
      <c r="B38" s="52"/>
      <c r="C38" s="60"/>
      <c r="D38" s="60"/>
      <c r="E38" s="60"/>
      <c r="F38" s="60"/>
      <c r="G38" s="60"/>
      <c r="H38" s="60"/>
      <c r="I38" s="60"/>
      <c r="J38" s="60"/>
      <c r="AC38" s="60"/>
      <c r="AD38" s="60"/>
    </row>
    <row r="39" spans="1:30" ht="35" customHeight="1" x14ac:dyDescent="0.2">
      <c r="A39" s="52">
        <v>11</v>
      </c>
      <c r="B39" s="52"/>
      <c r="C39" s="60"/>
      <c r="D39" s="60"/>
      <c r="E39" s="60"/>
      <c r="F39" s="60"/>
      <c r="G39" s="60"/>
      <c r="H39" s="60"/>
      <c r="I39" s="60"/>
      <c r="J39" s="60"/>
      <c r="K39" s="60"/>
      <c r="L39" s="60"/>
      <c r="AC39" s="60"/>
      <c r="AD39" s="60"/>
    </row>
    <row r="40" spans="1:30" ht="35" customHeight="1" x14ac:dyDescent="0.2">
      <c r="A40" s="103">
        <v>1130</v>
      </c>
      <c r="B40" s="52"/>
      <c r="C40" s="60"/>
      <c r="D40" s="60"/>
      <c r="E40" s="60"/>
      <c r="F40" s="60"/>
      <c r="G40" s="60"/>
      <c r="H40" s="60"/>
      <c r="I40" s="60"/>
      <c r="J40" s="60"/>
      <c r="K40" s="60"/>
      <c r="L40" s="60"/>
      <c r="AC40" s="60"/>
      <c r="AD40" s="60"/>
    </row>
    <row r="41" spans="1:30" ht="35" customHeight="1" x14ac:dyDescent="0.2">
      <c r="A41" s="52">
        <v>12</v>
      </c>
      <c r="B41" s="52"/>
      <c r="C41" s="60"/>
      <c r="D41" s="60"/>
      <c r="E41" s="60"/>
      <c r="F41" s="60"/>
      <c r="G41" s="60"/>
      <c r="H41" s="60"/>
      <c r="I41" s="60"/>
      <c r="J41" s="60"/>
      <c r="K41" s="60"/>
      <c r="L41" s="60"/>
      <c r="AC41" s="60"/>
      <c r="AD41" s="60"/>
    </row>
  </sheetData>
  <mergeCells count="16">
    <mergeCell ref="W26:W28"/>
    <mergeCell ref="AB26:AB28"/>
    <mergeCell ref="AE18:AJ18"/>
    <mergeCell ref="X1:AA1"/>
    <mergeCell ref="J6:J8"/>
    <mergeCell ref="B1:D1"/>
    <mergeCell ref="F1:I1"/>
    <mergeCell ref="K1:M1"/>
    <mergeCell ref="O1:R1"/>
    <mergeCell ref="T1:V1"/>
    <mergeCell ref="E6:E8"/>
    <mergeCell ref="AE12:AJ12"/>
    <mergeCell ref="AE13:AJ13"/>
    <mergeCell ref="AE17:AJ17"/>
    <mergeCell ref="AE14:AJ14"/>
    <mergeCell ref="AE16:AJ16"/>
  </mergeCells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927D-45B1-724A-9675-E1E0D1FEDF14}">
  <dimension ref="A1:AP41"/>
  <sheetViews>
    <sheetView zoomScale="59" workbookViewId="0">
      <selection activeCell="AE15" sqref="AE15:AJ15"/>
    </sheetView>
  </sheetViews>
  <sheetFormatPr baseColWidth="10" defaultColWidth="9.1640625" defaultRowHeight="35" customHeight="1" x14ac:dyDescent="0.2"/>
  <cols>
    <col min="1" max="11" width="9.1640625" style="104"/>
    <col min="12" max="12" width="9.33203125" style="104" customWidth="1"/>
    <col min="13" max="16384" width="9.1640625" style="104"/>
  </cols>
  <sheetData>
    <row r="1" spans="1:42" ht="65" customHeight="1" x14ac:dyDescent="0.2">
      <c r="B1" s="348" t="s">
        <v>214</v>
      </c>
      <c r="C1" s="348"/>
      <c r="D1" s="348"/>
      <c r="E1" s="105" t="s">
        <v>216</v>
      </c>
      <c r="F1" s="346" t="s">
        <v>213</v>
      </c>
      <c r="G1" s="347"/>
      <c r="H1" s="347"/>
      <c r="I1" s="347"/>
      <c r="J1" s="106"/>
      <c r="K1" s="348" t="s">
        <v>214</v>
      </c>
      <c r="L1" s="348"/>
      <c r="M1" s="348"/>
      <c r="N1" s="105" t="s">
        <v>216</v>
      </c>
      <c r="O1" s="346" t="s">
        <v>213</v>
      </c>
      <c r="P1" s="347"/>
      <c r="Q1" s="347"/>
      <c r="R1" s="347"/>
      <c r="S1" s="106"/>
      <c r="T1" s="348" t="s">
        <v>214</v>
      </c>
      <c r="U1" s="348"/>
      <c r="V1" s="348"/>
      <c r="W1" s="105" t="s">
        <v>216</v>
      </c>
      <c r="X1" s="346" t="s">
        <v>213</v>
      </c>
      <c r="Y1" s="347"/>
      <c r="Z1" s="347"/>
      <c r="AA1" s="347"/>
      <c r="AB1" s="106"/>
      <c r="AC1" s="134" t="s">
        <v>286</v>
      </c>
      <c r="AD1" s="134" t="s">
        <v>287</v>
      </c>
      <c r="AE1" s="134" t="s">
        <v>280</v>
      </c>
      <c r="AF1" s="134" t="s">
        <v>281</v>
      </c>
      <c r="AG1" s="134" t="s">
        <v>282</v>
      </c>
      <c r="AH1" s="134" t="s">
        <v>283</v>
      </c>
      <c r="AI1" s="134" t="s">
        <v>284</v>
      </c>
      <c r="AJ1" s="134" t="s">
        <v>285</v>
      </c>
      <c r="AK1" s="134" t="s">
        <v>288</v>
      </c>
      <c r="AL1" s="134" t="s">
        <v>289</v>
      </c>
      <c r="AM1" s="134" t="s">
        <v>290</v>
      </c>
      <c r="AN1" s="134" t="s">
        <v>291</v>
      </c>
      <c r="AO1" s="134" t="s">
        <v>292</v>
      </c>
      <c r="AP1" s="134" t="s">
        <v>293</v>
      </c>
    </row>
    <row r="2" spans="1:42" ht="35" customHeight="1" x14ac:dyDescent="0.2">
      <c r="A2" s="52" t="s">
        <v>77</v>
      </c>
      <c r="B2" s="102" t="s">
        <v>198</v>
      </c>
      <c r="C2" s="102" t="s">
        <v>201</v>
      </c>
      <c r="D2" s="102" t="s">
        <v>202</v>
      </c>
      <c r="E2" s="102" t="s">
        <v>208</v>
      </c>
      <c r="F2" s="102" t="s">
        <v>203</v>
      </c>
      <c r="G2" s="60" t="s">
        <v>204</v>
      </c>
      <c r="H2" s="60" t="s">
        <v>205</v>
      </c>
      <c r="I2" s="60" t="s">
        <v>206</v>
      </c>
      <c r="J2" s="60"/>
      <c r="K2" s="60" t="s">
        <v>220</v>
      </c>
      <c r="L2" s="60" t="s">
        <v>221</v>
      </c>
      <c r="M2" s="60" t="s">
        <v>222</v>
      </c>
      <c r="N2" s="60" t="s">
        <v>223</v>
      </c>
      <c r="O2" s="60" t="s">
        <v>224</v>
      </c>
      <c r="P2" s="60" t="s">
        <v>225</v>
      </c>
      <c r="Q2" s="60" t="s">
        <v>226</v>
      </c>
      <c r="R2" s="60" t="s">
        <v>227</v>
      </c>
      <c r="S2" s="60"/>
      <c r="T2" s="60" t="s">
        <v>228</v>
      </c>
      <c r="U2" s="60" t="s">
        <v>229</v>
      </c>
      <c r="V2" s="60" t="s">
        <v>230</v>
      </c>
      <c r="W2" s="60" t="s">
        <v>239</v>
      </c>
      <c r="X2" s="60" t="s">
        <v>240</v>
      </c>
      <c r="Y2" s="60" t="s">
        <v>241</v>
      </c>
      <c r="Z2" s="60" t="s">
        <v>242</v>
      </c>
      <c r="AA2" s="60" t="s">
        <v>243</v>
      </c>
      <c r="AB2" s="60"/>
      <c r="AC2" s="60"/>
      <c r="AD2" s="60"/>
      <c r="AE2" s="60"/>
      <c r="AF2" s="60"/>
    </row>
    <row r="3" spans="1:42" ht="35" customHeight="1" x14ac:dyDescent="0.2">
      <c r="A3" s="52">
        <v>5</v>
      </c>
      <c r="B3" s="52"/>
      <c r="C3" s="102"/>
      <c r="D3" s="102"/>
      <c r="E3" s="102"/>
      <c r="F3" s="102"/>
      <c r="G3" s="102"/>
      <c r="H3" s="60"/>
      <c r="I3" s="60"/>
      <c r="J3" s="60"/>
      <c r="K3" s="60"/>
      <c r="L3" s="60"/>
      <c r="AC3" s="60"/>
      <c r="AD3" s="60"/>
    </row>
    <row r="4" spans="1:42" ht="35" customHeight="1" x14ac:dyDescent="0.2">
      <c r="A4" s="103">
        <v>530</v>
      </c>
      <c r="B4" s="52"/>
      <c r="C4" s="102"/>
      <c r="D4" s="102"/>
      <c r="E4" s="102"/>
      <c r="F4" s="102"/>
      <c r="G4" s="102"/>
      <c r="H4" s="60"/>
      <c r="I4" s="60"/>
      <c r="J4" s="60"/>
      <c r="K4" s="60"/>
      <c r="L4" s="60"/>
      <c r="AC4" s="60"/>
      <c r="AD4" s="60"/>
    </row>
    <row r="5" spans="1:42" ht="35" customHeight="1" x14ac:dyDescent="0.2">
      <c r="A5" s="52">
        <v>6</v>
      </c>
      <c r="B5" s="52"/>
      <c r="C5" s="102"/>
      <c r="D5" s="102"/>
      <c r="E5" s="102"/>
      <c r="F5" s="102"/>
      <c r="G5" s="102"/>
      <c r="H5" s="60"/>
      <c r="I5" s="60"/>
      <c r="J5" s="60"/>
      <c r="K5" s="60"/>
      <c r="L5" s="60"/>
      <c r="AC5" s="60"/>
      <c r="AD5" s="60"/>
    </row>
    <row r="6" spans="1:42" ht="35" customHeight="1" x14ac:dyDescent="0.2">
      <c r="A6" s="103">
        <v>630</v>
      </c>
      <c r="B6" s="109" t="s">
        <v>249</v>
      </c>
      <c r="C6" s="109" t="s">
        <v>249</v>
      </c>
      <c r="D6" s="109" t="s">
        <v>249</v>
      </c>
      <c r="E6" s="355" t="s">
        <v>216</v>
      </c>
      <c r="F6" s="110" t="s">
        <v>249</v>
      </c>
      <c r="G6" s="110" t="s">
        <v>249</v>
      </c>
      <c r="H6" s="110" t="s">
        <v>249</v>
      </c>
      <c r="I6" s="110" t="s">
        <v>249</v>
      </c>
      <c r="J6" s="355" t="s">
        <v>216</v>
      </c>
      <c r="K6" s="60"/>
      <c r="L6" s="60"/>
      <c r="AC6" s="144" t="s">
        <v>278</v>
      </c>
      <c r="AD6" s="60"/>
    </row>
    <row r="7" spans="1:42" ht="35" customHeight="1" x14ac:dyDescent="0.2">
      <c r="A7" s="107">
        <v>7</v>
      </c>
      <c r="B7" s="109" t="s">
        <v>211</v>
      </c>
      <c r="C7" s="109" t="s">
        <v>196</v>
      </c>
      <c r="D7" s="109" t="s">
        <v>197</v>
      </c>
      <c r="E7" s="355"/>
      <c r="F7" s="110" t="s">
        <v>207</v>
      </c>
      <c r="G7" s="110" t="s">
        <v>131</v>
      </c>
      <c r="H7" s="110" t="s">
        <v>200</v>
      </c>
      <c r="I7" s="110" t="s">
        <v>199</v>
      </c>
      <c r="J7" s="355"/>
      <c r="K7" s="60"/>
      <c r="L7" s="60"/>
      <c r="AC7" s="126" t="s">
        <v>270</v>
      </c>
      <c r="AD7" s="60"/>
    </row>
    <row r="8" spans="1:42" ht="35" customHeight="1" x14ac:dyDescent="0.2">
      <c r="A8" s="108">
        <v>730</v>
      </c>
      <c r="B8" s="109" t="s">
        <v>212</v>
      </c>
      <c r="C8" s="109" t="s">
        <v>196</v>
      </c>
      <c r="D8" s="109" t="s">
        <v>197</v>
      </c>
      <c r="E8" s="355"/>
      <c r="F8" s="110" t="s">
        <v>207</v>
      </c>
      <c r="G8" s="110" t="s">
        <v>131</v>
      </c>
      <c r="H8" s="110" t="s">
        <v>200</v>
      </c>
      <c r="I8" s="110" t="s">
        <v>199</v>
      </c>
      <c r="J8" s="355"/>
      <c r="K8" s="60"/>
      <c r="L8" s="60"/>
      <c r="AC8" s="127" t="s">
        <v>279</v>
      </c>
      <c r="AD8" s="130"/>
    </row>
    <row r="9" spans="1:42" ht="35" customHeight="1" x14ac:dyDescent="0.2">
      <c r="A9" s="107">
        <v>8</v>
      </c>
      <c r="B9" s="109" t="s">
        <v>196</v>
      </c>
      <c r="C9" s="109" t="s">
        <v>197</v>
      </c>
      <c r="D9" s="111" t="s">
        <v>218</v>
      </c>
      <c r="E9" s="112" t="s">
        <v>217</v>
      </c>
      <c r="F9" s="110" t="s">
        <v>131</v>
      </c>
      <c r="G9" s="110" t="s">
        <v>200</v>
      </c>
      <c r="H9" s="110" t="s">
        <v>199</v>
      </c>
      <c r="I9" s="113" t="s">
        <v>219</v>
      </c>
      <c r="J9" s="112" t="s">
        <v>217</v>
      </c>
      <c r="K9" s="60"/>
      <c r="L9" s="60">
        <v>40.5</v>
      </c>
      <c r="M9" s="104">
        <v>54</v>
      </c>
      <c r="N9" s="104">
        <v>31.5</v>
      </c>
      <c r="O9" s="104">
        <v>6.5</v>
      </c>
      <c r="P9" s="104">
        <v>6</v>
      </c>
      <c r="Q9" s="104">
        <v>11</v>
      </c>
      <c r="R9" s="104">
        <v>16</v>
      </c>
      <c r="AC9" s="127" t="s">
        <v>279</v>
      </c>
      <c r="AD9" s="130"/>
    </row>
    <row r="10" spans="1:42" ht="35" customHeight="1" x14ac:dyDescent="0.2">
      <c r="A10" s="108">
        <v>830</v>
      </c>
      <c r="B10" s="109" t="s">
        <v>196</v>
      </c>
      <c r="C10" s="109" t="s">
        <v>197</v>
      </c>
      <c r="D10" s="109" t="s">
        <v>212</v>
      </c>
      <c r="E10" s="112" t="s">
        <v>216</v>
      </c>
      <c r="F10" s="110" t="s">
        <v>131</v>
      </c>
      <c r="G10" s="110" t="s">
        <v>200</v>
      </c>
      <c r="H10" s="110" t="s">
        <v>199</v>
      </c>
      <c r="I10" s="110" t="s">
        <v>207</v>
      </c>
      <c r="J10" s="112" t="s">
        <v>216</v>
      </c>
      <c r="K10" s="60"/>
      <c r="L10" s="60"/>
      <c r="AC10" s="127" t="s">
        <v>279</v>
      </c>
      <c r="AD10" s="130"/>
      <c r="AE10" s="25"/>
      <c r="AF10" s="25"/>
      <c r="AG10" s="25"/>
    </row>
    <row r="11" spans="1:42" ht="35" customHeight="1" x14ac:dyDescent="0.2">
      <c r="A11" s="107">
        <v>9</v>
      </c>
      <c r="B11" s="109" t="s">
        <v>197</v>
      </c>
      <c r="C11" s="111" t="s">
        <v>218</v>
      </c>
      <c r="D11" s="109" t="s">
        <v>196</v>
      </c>
      <c r="E11" s="112" t="s">
        <v>217</v>
      </c>
      <c r="F11" s="110" t="s">
        <v>200</v>
      </c>
      <c r="G11" s="110" t="s">
        <v>199</v>
      </c>
      <c r="H11" s="146" t="s">
        <v>207</v>
      </c>
      <c r="I11" s="110" t="s">
        <v>131</v>
      </c>
      <c r="J11" s="112" t="s">
        <v>217</v>
      </c>
      <c r="K11" s="60"/>
      <c r="L11" s="60"/>
      <c r="AC11" s="138" t="s">
        <v>244</v>
      </c>
      <c r="AD11" s="132"/>
      <c r="AE11" s="199" t="s">
        <v>389</v>
      </c>
      <c r="AF11" s="199" t="s">
        <v>389</v>
      </c>
      <c r="AG11" s="199" t="s">
        <v>389</v>
      </c>
      <c r="AH11" s="199" t="s">
        <v>389</v>
      </c>
      <c r="AI11" s="199" t="s">
        <v>389</v>
      </c>
      <c r="AJ11" s="199" t="s">
        <v>389</v>
      </c>
    </row>
    <row r="12" spans="1:42" ht="35" customHeight="1" x14ac:dyDescent="0.2">
      <c r="A12" s="108">
        <v>930</v>
      </c>
      <c r="B12" s="109" t="s">
        <v>197</v>
      </c>
      <c r="C12" s="109" t="s">
        <v>212</v>
      </c>
      <c r="D12" s="109" t="s">
        <v>196</v>
      </c>
      <c r="E12" s="112" t="s">
        <v>216</v>
      </c>
      <c r="F12" s="110" t="s">
        <v>200</v>
      </c>
      <c r="G12" s="110" t="s">
        <v>199</v>
      </c>
      <c r="H12" s="113" t="s">
        <v>219</v>
      </c>
      <c r="I12" s="110" t="s">
        <v>131</v>
      </c>
      <c r="J12" s="112" t="s">
        <v>216</v>
      </c>
      <c r="K12" s="60"/>
      <c r="L12" s="60"/>
      <c r="AC12" s="126" t="s">
        <v>270</v>
      </c>
      <c r="AD12" s="130"/>
      <c r="AE12" s="349" t="s">
        <v>390</v>
      </c>
      <c r="AF12" s="350"/>
      <c r="AG12" s="350"/>
      <c r="AH12" s="350"/>
      <c r="AI12" s="350"/>
      <c r="AJ12" s="351"/>
    </row>
    <row r="13" spans="1:42" ht="35" customHeight="1" x14ac:dyDescent="0.2">
      <c r="A13" s="107">
        <v>10</v>
      </c>
      <c r="B13" s="111" t="s">
        <v>218</v>
      </c>
      <c r="C13" s="109" t="s">
        <v>196</v>
      </c>
      <c r="D13" s="109" t="s">
        <v>197</v>
      </c>
      <c r="E13" s="112" t="s">
        <v>217</v>
      </c>
      <c r="F13" s="110" t="s">
        <v>199</v>
      </c>
      <c r="G13" s="113" t="s">
        <v>219</v>
      </c>
      <c r="H13" s="110" t="s">
        <v>131</v>
      </c>
      <c r="I13" s="110" t="s">
        <v>200</v>
      </c>
      <c r="J13" s="112" t="s">
        <v>217</v>
      </c>
      <c r="K13" s="60"/>
      <c r="L13" s="60"/>
      <c r="AC13" s="126" t="s">
        <v>270</v>
      </c>
      <c r="AD13" s="130"/>
      <c r="AE13" s="352" t="s">
        <v>391</v>
      </c>
      <c r="AF13" s="353"/>
      <c r="AG13" s="353"/>
      <c r="AH13" s="353"/>
      <c r="AI13" s="353"/>
      <c r="AJ13" s="354"/>
    </row>
    <row r="14" spans="1:42" ht="35" customHeight="1" x14ac:dyDescent="0.2">
      <c r="A14" s="108">
        <v>1030</v>
      </c>
      <c r="B14" s="109" t="s">
        <v>212</v>
      </c>
      <c r="C14" s="109" t="s">
        <v>196</v>
      </c>
      <c r="D14" s="109" t="s">
        <v>197</v>
      </c>
      <c r="E14" s="112" t="s">
        <v>396</v>
      </c>
      <c r="F14" s="110" t="s">
        <v>199</v>
      </c>
      <c r="G14" s="110" t="s">
        <v>207</v>
      </c>
      <c r="H14" s="110" t="s">
        <v>131</v>
      </c>
      <c r="I14" s="110" t="s">
        <v>200</v>
      </c>
      <c r="J14" s="112" t="s">
        <v>396</v>
      </c>
      <c r="K14" s="109" t="s">
        <v>252</v>
      </c>
      <c r="L14" s="109" t="s">
        <v>253</v>
      </c>
      <c r="M14" s="109" t="s">
        <v>254</v>
      </c>
      <c r="N14" s="120" t="s">
        <v>396</v>
      </c>
      <c r="O14" s="110" t="s">
        <v>254</v>
      </c>
      <c r="P14" s="110" t="s">
        <v>254</v>
      </c>
      <c r="Q14" s="110" t="s">
        <v>254</v>
      </c>
      <c r="R14" s="110" t="s">
        <v>254</v>
      </c>
      <c r="S14" s="120" t="s">
        <v>396</v>
      </c>
      <c r="AC14" s="126" t="s">
        <v>270</v>
      </c>
      <c r="AD14" s="130"/>
      <c r="AE14" s="352" t="s">
        <v>391</v>
      </c>
      <c r="AF14" s="353"/>
      <c r="AG14" s="353"/>
      <c r="AH14" s="353"/>
      <c r="AI14" s="353"/>
      <c r="AJ14" s="354"/>
    </row>
    <row r="15" spans="1:42" ht="35" customHeight="1" x14ac:dyDescent="0.2">
      <c r="A15" s="107">
        <v>11</v>
      </c>
      <c r="B15" s="102" t="s">
        <v>248</v>
      </c>
      <c r="C15" s="102" t="s">
        <v>248</v>
      </c>
      <c r="D15" s="102" t="s">
        <v>248</v>
      </c>
      <c r="E15" s="102" t="s">
        <v>248</v>
      </c>
      <c r="F15" s="102" t="s">
        <v>248</v>
      </c>
      <c r="G15" s="102" t="s">
        <v>248</v>
      </c>
      <c r="H15" s="138" t="s">
        <v>244</v>
      </c>
      <c r="I15" s="138" t="s">
        <v>244</v>
      </c>
      <c r="J15" s="102" t="s">
        <v>248</v>
      </c>
      <c r="K15" s="119" t="s">
        <v>211</v>
      </c>
      <c r="L15" s="109" t="s">
        <v>196</v>
      </c>
      <c r="M15" s="109" t="s">
        <v>197</v>
      </c>
      <c r="N15" s="120" t="s">
        <v>216</v>
      </c>
      <c r="O15" s="113" t="s">
        <v>209</v>
      </c>
      <c r="P15" s="110" t="s">
        <v>131</v>
      </c>
      <c r="Q15" s="110" t="s">
        <v>200</v>
      </c>
      <c r="R15" s="110" t="s">
        <v>199</v>
      </c>
      <c r="S15" s="113" t="s">
        <v>255</v>
      </c>
      <c r="T15" s="125" t="s">
        <v>257</v>
      </c>
      <c r="AC15" s="126" t="s">
        <v>270</v>
      </c>
      <c r="AD15" s="130"/>
      <c r="AE15" s="270" t="s">
        <v>450</v>
      </c>
      <c r="AF15" s="270" t="s">
        <v>450</v>
      </c>
      <c r="AG15" s="270" t="s">
        <v>450</v>
      </c>
      <c r="AH15" s="270" t="s">
        <v>450</v>
      </c>
      <c r="AI15" s="270" t="s">
        <v>450</v>
      </c>
      <c r="AJ15" s="270" t="s">
        <v>450</v>
      </c>
    </row>
    <row r="16" spans="1:42" ht="35" customHeight="1" x14ac:dyDescent="0.2">
      <c r="A16" s="108">
        <v>1130</v>
      </c>
      <c r="B16" s="102"/>
      <c r="C16" s="102"/>
      <c r="D16" s="121"/>
      <c r="E16" s="201"/>
      <c r="F16" s="201"/>
      <c r="G16" s="201"/>
      <c r="H16" s="189" t="s">
        <v>129</v>
      </c>
      <c r="I16" s="189" t="s">
        <v>129</v>
      </c>
      <c r="J16" s="201"/>
      <c r="K16" s="109" t="s">
        <v>212</v>
      </c>
      <c r="L16" s="109" t="s">
        <v>196</v>
      </c>
      <c r="M16" s="109" t="s">
        <v>197</v>
      </c>
      <c r="N16" s="120" t="s">
        <v>216</v>
      </c>
      <c r="O16" s="110" t="s">
        <v>207</v>
      </c>
      <c r="P16" s="113" t="s">
        <v>256</v>
      </c>
      <c r="Q16" s="110" t="s">
        <v>200</v>
      </c>
      <c r="R16" s="110" t="s">
        <v>199</v>
      </c>
      <c r="S16" s="113" t="s">
        <v>256</v>
      </c>
      <c r="AC16" s="126" t="s">
        <v>270</v>
      </c>
      <c r="AD16" s="130"/>
      <c r="AE16" s="349" t="s">
        <v>392</v>
      </c>
      <c r="AF16" s="350"/>
      <c r="AG16" s="350"/>
      <c r="AH16" s="350"/>
      <c r="AI16" s="350"/>
      <c r="AJ16" s="351"/>
    </row>
    <row r="17" spans="1:42" ht="35" customHeight="1" x14ac:dyDescent="0.2">
      <c r="A17" s="107">
        <v>12</v>
      </c>
      <c r="B17" s="102"/>
      <c r="C17" s="102"/>
      <c r="D17" s="102"/>
      <c r="E17" s="201"/>
      <c r="F17" s="201"/>
      <c r="G17" s="201"/>
      <c r="H17" s="112" t="s">
        <v>331</v>
      </c>
      <c r="I17" s="112" t="s">
        <v>331</v>
      </c>
      <c r="J17" s="201"/>
      <c r="K17" s="109" t="s">
        <v>196</v>
      </c>
      <c r="L17" s="109" t="s">
        <v>197</v>
      </c>
      <c r="M17" s="111" t="s">
        <v>244</v>
      </c>
      <c r="N17" s="111" t="s">
        <v>246</v>
      </c>
      <c r="O17" s="110" t="s">
        <v>131</v>
      </c>
      <c r="P17" s="110" t="s">
        <v>200</v>
      </c>
      <c r="Q17" s="110" t="s">
        <v>199</v>
      </c>
      <c r="R17" s="141" t="s">
        <v>244</v>
      </c>
      <c r="S17" s="120" t="s">
        <v>216</v>
      </c>
      <c r="T17" s="125" t="s">
        <v>257</v>
      </c>
      <c r="AC17" s="19" t="s">
        <v>276</v>
      </c>
      <c r="AD17" s="130"/>
      <c r="AE17" s="352" t="s">
        <v>393</v>
      </c>
      <c r="AF17" s="353"/>
      <c r="AG17" s="353"/>
      <c r="AH17" s="353"/>
      <c r="AI17" s="353"/>
      <c r="AJ17" s="354"/>
    </row>
    <row r="18" spans="1:42" ht="35" customHeight="1" x14ac:dyDescent="0.2">
      <c r="A18" s="108">
        <v>1230</v>
      </c>
      <c r="B18" s="107"/>
      <c r="C18" s="102"/>
      <c r="D18" s="102"/>
      <c r="E18" s="201"/>
      <c r="F18" s="201"/>
      <c r="G18" s="201"/>
      <c r="H18" s="112" t="s">
        <v>331</v>
      </c>
      <c r="I18" s="112" t="s">
        <v>331</v>
      </c>
      <c r="J18" s="201"/>
      <c r="K18" s="109" t="s">
        <v>196</v>
      </c>
      <c r="L18" s="109" t="s">
        <v>197</v>
      </c>
      <c r="M18" s="109" t="s">
        <v>212</v>
      </c>
      <c r="N18" s="116"/>
      <c r="O18" s="110" t="s">
        <v>131</v>
      </c>
      <c r="P18" s="110" t="s">
        <v>200</v>
      </c>
      <c r="Q18" s="110" t="s">
        <v>199</v>
      </c>
      <c r="R18" s="110" t="s">
        <v>207</v>
      </c>
      <c r="S18" s="116"/>
      <c r="AC18" s="138" t="s">
        <v>244</v>
      </c>
      <c r="AD18" s="130"/>
      <c r="AE18" s="352" t="s">
        <v>393</v>
      </c>
      <c r="AF18" s="353"/>
      <c r="AG18" s="353"/>
      <c r="AH18" s="353"/>
      <c r="AI18" s="353"/>
      <c r="AJ18" s="354"/>
      <c r="AK18" s="200"/>
      <c r="AL18" s="200"/>
      <c r="AM18" s="200"/>
      <c r="AN18" s="200"/>
      <c r="AO18" s="200"/>
      <c r="AP18" s="200"/>
    </row>
    <row r="19" spans="1:42" ht="35" customHeight="1" x14ac:dyDescent="0.2">
      <c r="A19" s="107">
        <v>1</v>
      </c>
      <c r="B19" s="107"/>
      <c r="C19" s="102"/>
      <c r="D19" s="102"/>
      <c r="E19" s="201"/>
      <c r="F19" s="201"/>
      <c r="G19" s="201"/>
      <c r="H19" s="201"/>
      <c r="I19" s="201"/>
      <c r="J19" s="201"/>
      <c r="K19" s="109" t="s">
        <v>197</v>
      </c>
      <c r="L19" s="111" t="s">
        <v>244</v>
      </c>
      <c r="M19" s="109" t="s">
        <v>196</v>
      </c>
      <c r="N19" s="111" t="s">
        <v>246</v>
      </c>
      <c r="O19" s="110" t="s">
        <v>200</v>
      </c>
      <c r="P19" s="110" t="s">
        <v>199</v>
      </c>
      <c r="Q19" s="124" t="s">
        <v>244</v>
      </c>
      <c r="R19" s="110" t="s">
        <v>131</v>
      </c>
      <c r="S19" s="120" t="s">
        <v>216</v>
      </c>
      <c r="T19" s="125" t="s">
        <v>257</v>
      </c>
      <c r="AC19" s="126" t="s">
        <v>270</v>
      </c>
      <c r="AD19" s="130"/>
      <c r="AE19" s="200"/>
      <c r="AF19" s="200"/>
      <c r="AG19" s="200"/>
      <c r="AH19" s="200"/>
      <c r="AI19" s="200"/>
      <c r="AJ19" s="200"/>
      <c r="AK19" s="200"/>
      <c r="AL19" s="200"/>
      <c r="AM19" s="200"/>
      <c r="AN19" s="200"/>
      <c r="AO19" s="200"/>
      <c r="AP19" s="200"/>
    </row>
    <row r="20" spans="1:42" ht="35" customHeight="1" x14ac:dyDescent="0.2">
      <c r="A20" s="108">
        <v>130</v>
      </c>
      <c r="B20" s="107"/>
      <c r="C20" s="102"/>
      <c r="D20" s="102"/>
      <c r="E20" s="201"/>
      <c r="F20" s="201"/>
      <c r="G20" s="201"/>
      <c r="H20" s="201"/>
      <c r="I20" s="201"/>
      <c r="J20" s="201"/>
      <c r="K20" s="109" t="s">
        <v>197</v>
      </c>
      <c r="L20" s="109" t="s">
        <v>212</v>
      </c>
      <c r="M20" s="109" t="s">
        <v>196</v>
      </c>
      <c r="N20" s="120" t="s">
        <v>216</v>
      </c>
      <c r="O20" s="110" t="s">
        <v>200</v>
      </c>
      <c r="P20" s="110" t="s">
        <v>199</v>
      </c>
      <c r="Q20" s="110" t="s">
        <v>207</v>
      </c>
      <c r="R20" s="113" t="s">
        <v>256</v>
      </c>
      <c r="S20" s="113" t="s">
        <v>256</v>
      </c>
      <c r="AC20" s="191" t="s">
        <v>274</v>
      </c>
      <c r="AD20" s="126" t="s">
        <v>266</v>
      </c>
      <c r="AE20" s="200"/>
      <c r="AF20" s="200"/>
      <c r="AG20" s="200"/>
      <c r="AH20" s="200"/>
      <c r="AI20" s="200"/>
      <c r="AJ20" s="200"/>
      <c r="AK20" s="200"/>
      <c r="AL20" s="200"/>
      <c r="AM20" s="200"/>
      <c r="AN20" s="200"/>
      <c r="AO20" s="200"/>
      <c r="AP20" s="200"/>
    </row>
    <row r="21" spans="1:42" ht="35" customHeight="1" x14ac:dyDescent="0.2">
      <c r="A21" s="107">
        <v>2</v>
      </c>
      <c r="B21" s="107"/>
      <c r="C21" s="102"/>
      <c r="D21" s="102"/>
      <c r="E21" s="201"/>
      <c r="F21" s="201"/>
      <c r="G21" s="201"/>
      <c r="H21" s="201"/>
      <c r="I21" s="201"/>
      <c r="J21" s="201"/>
      <c r="K21" s="111" t="s">
        <v>244</v>
      </c>
      <c r="L21" s="109" t="s">
        <v>196</v>
      </c>
      <c r="M21" s="109" t="s">
        <v>197</v>
      </c>
      <c r="N21" s="111" t="s">
        <v>246</v>
      </c>
      <c r="O21" s="110" t="s">
        <v>199</v>
      </c>
      <c r="P21" s="124" t="s">
        <v>244</v>
      </c>
      <c r="Q21" s="110" t="s">
        <v>131</v>
      </c>
      <c r="R21" s="110" t="s">
        <v>200</v>
      </c>
      <c r="S21" s="113" t="s">
        <v>256</v>
      </c>
      <c r="T21" s="125" t="s">
        <v>257</v>
      </c>
      <c r="AC21" s="102"/>
      <c r="AD21" s="188" t="s">
        <v>329</v>
      </c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200"/>
    </row>
    <row r="22" spans="1:42" ht="35" customHeight="1" x14ac:dyDescent="0.2">
      <c r="A22" s="108">
        <v>230</v>
      </c>
      <c r="B22" s="107"/>
      <c r="C22" s="102"/>
      <c r="D22" s="102"/>
      <c r="E22" s="102"/>
      <c r="F22" s="102"/>
      <c r="G22" s="102"/>
      <c r="H22" s="102"/>
      <c r="I22" s="102"/>
      <c r="J22" s="102"/>
      <c r="K22" s="109" t="s">
        <v>212</v>
      </c>
      <c r="L22" s="109" t="s">
        <v>196</v>
      </c>
      <c r="M22" s="109" t="s">
        <v>197</v>
      </c>
      <c r="N22" s="122" t="s">
        <v>244</v>
      </c>
      <c r="O22" s="110" t="s">
        <v>199</v>
      </c>
      <c r="P22" s="110" t="s">
        <v>207</v>
      </c>
      <c r="Q22" s="110" t="s">
        <v>131</v>
      </c>
      <c r="R22" s="110" t="s">
        <v>200</v>
      </c>
      <c r="S22" s="122" t="s">
        <v>244</v>
      </c>
      <c r="AC22" s="130"/>
      <c r="AD22" s="188" t="s">
        <v>329</v>
      </c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  <c r="AO22" s="200"/>
      <c r="AP22" s="200"/>
    </row>
    <row r="23" spans="1:42" ht="35" customHeight="1" x14ac:dyDescent="0.2">
      <c r="A23" s="107">
        <v>3</v>
      </c>
      <c r="B23" s="107"/>
      <c r="C23" s="102"/>
      <c r="D23" s="102"/>
      <c r="E23" s="102"/>
      <c r="F23" s="102"/>
      <c r="G23" s="102"/>
      <c r="H23" s="102"/>
      <c r="I23" s="102"/>
      <c r="J23" s="102"/>
      <c r="K23" s="109" t="s">
        <v>196</v>
      </c>
      <c r="L23" s="109" t="s">
        <v>197</v>
      </c>
      <c r="M23" s="119" t="s">
        <v>211</v>
      </c>
      <c r="N23" s="120" t="s">
        <v>216</v>
      </c>
      <c r="O23" s="124" t="s">
        <v>244</v>
      </c>
      <c r="P23" s="110" t="s">
        <v>131</v>
      </c>
      <c r="Q23" s="110" t="s">
        <v>200</v>
      </c>
      <c r="R23" s="110" t="s">
        <v>199</v>
      </c>
      <c r="S23" s="120" t="s">
        <v>216</v>
      </c>
      <c r="AC23" s="130"/>
      <c r="AD23" s="188" t="s">
        <v>329</v>
      </c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</row>
    <row r="24" spans="1:42" ht="35" customHeight="1" x14ac:dyDescent="0.2">
      <c r="A24" s="114">
        <v>0.14583333333333334</v>
      </c>
      <c r="B24" s="115"/>
      <c r="C24" s="102"/>
      <c r="D24" s="102"/>
      <c r="E24" s="102"/>
      <c r="F24" s="102"/>
      <c r="G24" s="102"/>
      <c r="H24" s="102"/>
      <c r="I24" s="102"/>
      <c r="J24" s="102"/>
      <c r="K24" s="109" t="s">
        <v>196</v>
      </c>
      <c r="L24" s="109" t="s">
        <v>197</v>
      </c>
      <c r="M24" s="119" t="s">
        <v>211</v>
      </c>
      <c r="N24" s="116"/>
      <c r="O24" s="110" t="s">
        <v>207</v>
      </c>
      <c r="P24" s="110" t="s">
        <v>131</v>
      </c>
      <c r="Q24" s="110" t="s">
        <v>200</v>
      </c>
      <c r="R24" s="110" t="s">
        <v>199</v>
      </c>
      <c r="S24" s="116"/>
      <c r="AC24" s="102"/>
      <c r="AD24" s="188" t="s">
        <v>329</v>
      </c>
      <c r="AE24" s="145"/>
      <c r="AF24" s="145"/>
      <c r="AG24" s="145"/>
      <c r="AH24" s="145"/>
      <c r="AI24" s="145"/>
      <c r="AJ24" s="145"/>
      <c r="AK24" s="200"/>
      <c r="AL24" s="200"/>
      <c r="AM24" s="200"/>
      <c r="AN24" s="200"/>
      <c r="AO24" s="200"/>
      <c r="AP24" s="200"/>
    </row>
    <row r="25" spans="1:42" ht="35" customHeight="1" x14ac:dyDescent="0.2">
      <c r="A25" s="107">
        <v>4</v>
      </c>
      <c r="B25" s="107"/>
      <c r="C25" s="60"/>
      <c r="D25" s="60"/>
      <c r="E25" s="60"/>
      <c r="F25" s="60"/>
      <c r="G25" s="60"/>
      <c r="H25" s="102"/>
      <c r="I25" s="102"/>
      <c r="J25" s="102"/>
      <c r="K25" s="109" t="s">
        <v>197</v>
      </c>
      <c r="L25" s="118" t="s">
        <v>211</v>
      </c>
      <c r="M25" s="109" t="s">
        <v>196</v>
      </c>
      <c r="N25" s="120" t="s">
        <v>216</v>
      </c>
      <c r="O25" s="110" t="s">
        <v>131</v>
      </c>
      <c r="P25" s="110" t="s">
        <v>200</v>
      </c>
      <c r="Q25" s="110" t="s">
        <v>199</v>
      </c>
      <c r="R25" s="110" t="s">
        <v>207</v>
      </c>
      <c r="S25" s="116"/>
      <c r="AC25" s="137"/>
      <c r="AD25" s="136" t="s">
        <v>271</v>
      </c>
      <c r="AE25" s="117"/>
      <c r="AF25" s="117"/>
      <c r="AG25" s="145"/>
      <c r="AH25" s="145"/>
      <c r="AI25" s="145"/>
      <c r="AJ25" s="145"/>
      <c r="AK25" s="200"/>
      <c r="AL25" s="200"/>
      <c r="AM25" s="200"/>
      <c r="AN25" s="200"/>
      <c r="AO25" s="200"/>
      <c r="AP25" s="200"/>
    </row>
    <row r="26" spans="1:42" ht="35" customHeight="1" x14ac:dyDescent="0.2">
      <c r="A26" s="114">
        <v>0.1875</v>
      </c>
      <c r="B26" s="115"/>
      <c r="C26" s="60"/>
      <c r="D26" s="60"/>
      <c r="E26" s="60"/>
      <c r="F26" s="60"/>
      <c r="G26" s="60"/>
      <c r="H26" s="102"/>
      <c r="I26" s="102"/>
      <c r="J26" s="102"/>
      <c r="K26" s="109" t="s">
        <v>197</v>
      </c>
      <c r="L26" s="119" t="s">
        <v>211</v>
      </c>
      <c r="M26" s="109" t="s">
        <v>196</v>
      </c>
      <c r="N26" s="116"/>
      <c r="O26" s="110" t="s">
        <v>131</v>
      </c>
      <c r="P26" s="110" t="s">
        <v>200</v>
      </c>
      <c r="Q26" s="110" t="s">
        <v>199</v>
      </c>
      <c r="R26" s="110" t="s">
        <v>207</v>
      </c>
      <c r="S26" s="116"/>
      <c r="T26" s="109" t="s">
        <v>348</v>
      </c>
      <c r="U26" s="109" t="s">
        <v>348</v>
      </c>
      <c r="V26" s="109" t="s">
        <v>348</v>
      </c>
      <c r="W26" s="120" t="s">
        <v>396</v>
      </c>
      <c r="X26" s="110" t="s">
        <v>348</v>
      </c>
      <c r="Y26" s="110" t="s">
        <v>348</v>
      </c>
      <c r="Z26" s="110" t="s">
        <v>348</v>
      </c>
      <c r="AA26" s="110" t="s">
        <v>348</v>
      </c>
      <c r="AB26" s="120" t="s">
        <v>396</v>
      </c>
      <c r="AC26" s="137"/>
      <c r="AD26" s="136" t="s">
        <v>271</v>
      </c>
      <c r="AG26" s="117"/>
      <c r="AH26" s="117"/>
      <c r="AI26" s="117"/>
      <c r="AJ26" s="117"/>
      <c r="AK26" s="200"/>
      <c r="AL26" s="200"/>
      <c r="AM26" s="200"/>
      <c r="AN26" s="200"/>
      <c r="AO26" s="200"/>
      <c r="AP26" s="200"/>
    </row>
    <row r="27" spans="1:42" ht="35" customHeight="1" x14ac:dyDescent="0.2">
      <c r="A27" s="107">
        <v>5</v>
      </c>
      <c r="B27" s="107"/>
      <c r="C27" s="60"/>
      <c r="D27" s="60"/>
      <c r="E27" s="60"/>
      <c r="F27" s="60"/>
      <c r="G27" s="60"/>
      <c r="H27" s="102"/>
      <c r="I27" s="102"/>
      <c r="J27" s="102"/>
      <c r="K27" s="102" t="s">
        <v>251</v>
      </c>
      <c r="L27" s="102" t="s">
        <v>251</v>
      </c>
      <c r="M27" s="102" t="s">
        <v>251</v>
      </c>
      <c r="N27" s="102" t="s">
        <v>251</v>
      </c>
      <c r="O27" s="102" t="s">
        <v>251</v>
      </c>
      <c r="P27" s="102" t="s">
        <v>251</v>
      </c>
      <c r="Q27" s="102" t="s">
        <v>251</v>
      </c>
      <c r="R27" s="102" t="s">
        <v>251</v>
      </c>
      <c r="S27" s="102" t="s">
        <v>251</v>
      </c>
      <c r="T27" s="109" t="s">
        <v>211</v>
      </c>
      <c r="U27" s="109" t="s">
        <v>196</v>
      </c>
      <c r="V27" s="109" t="s">
        <v>197</v>
      </c>
      <c r="W27" s="120"/>
      <c r="X27" s="110" t="s">
        <v>207</v>
      </c>
      <c r="Y27" s="110" t="s">
        <v>131</v>
      </c>
      <c r="Z27" s="110" t="s">
        <v>200</v>
      </c>
      <c r="AA27" s="110" t="s">
        <v>199</v>
      </c>
      <c r="AB27" s="120"/>
      <c r="AC27" s="140"/>
      <c r="AD27" s="138" t="s">
        <v>244</v>
      </c>
      <c r="AK27" s="200"/>
      <c r="AL27" s="200"/>
      <c r="AM27" s="200"/>
      <c r="AN27" s="200"/>
      <c r="AO27" s="200"/>
      <c r="AP27" s="200"/>
    </row>
    <row r="28" spans="1:42" ht="35" customHeight="1" x14ac:dyDescent="0.2">
      <c r="A28" s="108">
        <v>530</v>
      </c>
      <c r="B28" s="107"/>
      <c r="C28" s="60"/>
      <c r="D28" s="60"/>
      <c r="E28" s="60"/>
      <c r="F28" s="60"/>
      <c r="G28" s="60"/>
      <c r="H28" s="102"/>
      <c r="I28" s="102"/>
      <c r="J28" s="102"/>
      <c r="K28" s="60"/>
      <c r="L28" s="60"/>
      <c r="T28" s="109" t="s">
        <v>212</v>
      </c>
      <c r="U28" s="109" t="s">
        <v>196</v>
      </c>
      <c r="V28" s="109" t="s">
        <v>197</v>
      </c>
      <c r="W28" s="120"/>
      <c r="X28" s="110" t="s">
        <v>207</v>
      </c>
      <c r="Y28" s="110" t="s">
        <v>131</v>
      </c>
      <c r="Z28" s="110" t="s">
        <v>200</v>
      </c>
      <c r="AA28" s="110" t="s">
        <v>199</v>
      </c>
      <c r="AB28" s="120"/>
      <c r="AC28" s="137"/>
      <c r="AD28" s="136" t="s">
        <v>271</v>
      </c>
    </row>
    <row r="29" spans="1:42" ht="35" customHeight="1" x14ac:dyDescent="0.2">
      <c r="A29" s="107">
        <v>6</v>
      </c>
      <c r="B29" s="107"/>
      <c r="C29" s="60"/>
      <c r="D29" s="60"/>
      <c r="E29" s="60"/>
      <c r="F29" s="60"/>
      <c r="G29" s="60"/>
      <c r="H29" s="60"/>
      <c r="I29" s="60"/>
      <c r="J29" s="60"/>
      <c r="K29" s="60"/>
      <c r="L29" s="60"/>
      <c r="T29" s="109" t="s">
        <v>196</v>
      </c>
      <c r="U29" s="109" t="s">
        <v>197</v>
      </c>
      <c r="V29" s="111" t="s">
        <v>218</v>
      </c>
      <c r="W29" s="112" t="s">
        <v>217</v>
      </c>
      <c r="X29" s="110" t="s">
        <v>131</v>
      </c>
      <c r="Y29" s="110" t="s">
        <v>200</v>
      </c>
      <c r="Z29" s="110" t="s">
        <v>199</v>
      </c>
      <c r="AA29" s="113" t="s">
        <v>219</v>
      </c>
      <c r="AB29" s="112" t="s">
        <v>217</v>
      </c>
      <c r="AC29" s="137"/>
      <c r="AD29" s="136" t="s">
        <v>271</v>
      </c>
    </row>
    <row r="30" spans="1:42" ht="35" customHeight="1" x14ac:dyDescent="0.2">
      <c r="A30" s="108">
        <v>630</v>
      </c>
      <c r="B30" s="107"/>
      <c r="C30" s="60"/>
      <c r="D30" s="60"/>
      <c r="E30" s="60"/>
      <c r="F30" s="60"/>
      <c r="G30" s="60"/>
      <c r="H30" s="60"/>
      <c r="I30" s="60"/>
      <c r="J30" s="60"/>
      <c r="K30" s="60"/>
      <c r="L30" s="60"/>
      <c r="T30" s="109" t="s">
        <v>196</v>
      </c>
      <c r="U30" s="109" t="s">
        <v>197</v>
      </c>
      <c r="V30" s="109" t="s">
        <v>212</v>
      </c>
      <c r="W30" s="112" t="s">
        <v>396</v>
      </c>
      <c r="X30" s="110" t="s">
        <v>131</v>
      </c>
      <c r="Y30" s="110" t="s">
        <v>200</v>
      </c>
      <c r="Z30" s="110" t="s">
        <v>199</v>
      </c>
      <c r="AA30" s="110" t="s">
        <v>207</v>
      </c>
      <c r="AB30" s="112" t="s">
        <v>396</v>
      </c>
      <c r="AC30" s="137"/>
      <c r="AD30" s="136" t="s">
        <v>271</v>
      </c>
    </row>
    <row r="31" spans="1:42" ht="35" customHeight="1" x14ac:dyDescent="0.2">
      <c r="A31" s="107">
        <v>7</v>
      </c>
      <c r="B31" s="107"/>
      <c r="C31" s="60"/>
      <c r="D31" s="60"/>
      <c r="E31" s="60"/>
      <c r="F31" s="60"/>
      <c r="G31" s="60"/>
      <c r="H31" s="60"/>
      <c r="I31" s="60"/>
      <c r="J31" s="60"/>
      <c r="K31" s="60"/>
      <c r="L31" s="60"/>
      <c r="T31" s="109" t="s">
        <v>197</v>
      </c>
      <c r="U31" s="111" t="s">
        <v>218</v>
      </c>
      <c r="V31" s="109" t="s">
        <v>196</v>
      </c>
      <c r="W31" s="112" t="s">
        <v>217</v>
      </c>
      <c r="X31" s="110" t="s">
        <v>200</v>
      </c>
      <c r="Y31" s="110" t="s">
        <v>199</v>
      </c>
      <c r="Z31" s="113" t="s">
        <v>219</v>
      </c>
      <c r="AA31" s="110" t="s">
        <v>131</v>
      </c>
      <c r="AB31" s="112" t="s">
        <v>217</v>
      </c>
      <c r="AC31" s="60"/>
      <c r="AD31" s="126" t="s">
        <v>270</v>
      </c>
    </row>
    <row r="32" spans="1:42" ht="35" customHeight="1" x14ac:dyDescent="0.2">
      <c r="A32" s="108">
        <v>730</v>
      </c>
      <c r="B32" s="107"/>
      <c r="C32" s="60"/>
      <c r="D32" s="60"/>
      <c r="E32" s="60"/>
      <c r="F32" s="60"/>
      <c r="G32" s="60"/>
      <c r="H32" s="60"/>
      <c r="I32" s="60"/>
      <c r="J32" s="60"/>
      <c r="K32" s="60"/>
      <c r="L32" s="60"/>
      <c r="T32" s="109" t="s">
        <v>197</v>
      </c>
      <c r="U32" s="109" t="s">
        <v>212</v>
      </c>
      <c r="V32" s="109" t="s">
        <v>196</v>
      </c>
      <c r="W32" s="112" t="s">
        <v>396</v>
      </c>
      <c r="X32" s="110" t="s">
        <v>200</v>
      </c>
      <c r="Y32" s="110" t="s">
        <v>199</v>
      </c>
      <c r="Z32" s="110" t="s">
        <v>207</v>
      </c>
      <c r="AA32" s="110" t="s">
        <v>131</v>
      </c>
      <c r="AB32" s="112" t="s">
        <v>396</v>
      </c>
      <c r="AC32" s="131"/>
      <c r="AD32" s="128" t="s">
        <v>270</v>
      </c>
    </row>
    <row r="33" spans="1:30" ht="35" customHeight="1" x14ac:dyDescent="0.2">
      <c r="A33" s="107">
        <v>8</v>
      </c>
      <c r="B33" s="107"/>
      <c r="C33" s="60"/>
      <c r="D33" s="60"/>
      <c r="E33" s="60"/>
      <c r="F33" s="60"/>
      <c r="G33" s="60"/>
      <c r="H33" s="60"/>
      <c r="I33" s="60"/>
      <c r="J33" s="60"/>
      <c r="K33" s="60"/>
      <c r="L33" s="60"/>
      <c r="T33" s="111" t="s">
        <v>218</v>
      </c>
      <c r="U33" s="109" t="s">
        <v>196</v>
      </c>
      <c r="V33" s="109" t="s">
        <v>197</v>
      </c>
      <c r="W33" s="112" t="s">
        <v>217</v>
      </c>
      <c r="X33" s="110" t="s">
        <v>199</v>
      </c>
      <c r="Y33" s="113" t="s">
        <v>219</v>
      </c>
      <c r="Z33" s="110" t="s">
        <v>131</v>
      </c>
      <c r="AA33" s="110" t="s">
        <v>200</v>
      </c>
      <c r="AB33" s="112" t="s">
        <v>217</v>
      </c>
      <c r="AC33" s="131"/>
      <c r="AD33" s="128" t="s">
        <v>270</v>
      </c>
    </row>
    <row r="34" spans="1:30" ht="35" customHeight="1" x14ac:dyDescent="0.2">
      <c r="A34" s="108">
        <v>830</v>
      </c>
      <c r="B34" s="107"/>
      <c r="C34" s="60"/>
      <c r="D34" s="60"/>
      <c r="E34" s="60"/>
      <c r="F34" s="60"/>
      <c r="G34" s="60"/>
      <c r="H34" s="60"/>
      <c r="I34" s="60"/>
      <c r="J34" s="60"/>
      <c r="K34" s="60"/>
      <c r="L34" s="60"/>
      <c r="T34" s="102" t="s">
        <v>238</v>
      </c>
      <c r="U34" s="102" t="s">
        <v>238</v>
      </c>
      <c r="V34" s="102" t="s">
        <v>238</v>
      </c>
      <c r="W34" s="102" t="s">
        <v>238</v>
      </c>
      <c r="X34" s="102" t="s">
        <v>238</v>
      </c>
      <c r="Y34" s="102" t="s">
        <v>238</v>
      </c>
      <c r="Z34" s="102" t="s">
        <v>238</v>
      </c>
      <c r="AA34" s="102" t="s">
        <v>238</v>
      </c>
      <c r="AB34" s="102" t="s">
        <v>238</v>
      </c>
      <c r="AC34" s="60"/>
      <c r="AD34" s="60" t="s">
        <v>238</v>
      </c>
    </row>
    <row r="35" spans="1:30" ht="35" customHeight="1" x14ac:dyDescent="0.2">
      <c r="A35" s="107">
        <v>9</v>
      </c>
      <c r="B35" s="107"/>
      <c r="C35" s="60"/>
      <c r="D35" s="60"/>
      <c r="E35" s="60"/>
      <c r="F35" s="60"/>
      <c r="G35" s="60"/>
      <c r="H35" s="60"/>
      <c r="I35" s="60"/>
      <c r="J35" s="60"/>
      <c r="K35" s="60"/>
      <c r="L35" s="60"/>
      <c r="T35" s="102"/>
      <c r="U35" s="102"/>
      <c r="V35" s="102"/>
      <c r="W35" s="102"/>
      <c r="X35" s="102"/>
      <c r="Y35" s="102"/>
      <c r="Z35" s="102"/>
      <c r="AA35" s="102"/>
      <c r="AB35" s="102"/>
      <c r="AC35" s="60"/>
    </row>
    <row r="36" spans="1:30" ht="35" customHeight="1" x14ac:dyDescent="0.2">
      <c r="A36" s="103">
        <v>930</v>
      </c>
      <c r="B36" s="52"/>
      <c r="C36" s="60"/>
      <c r="D36" s="60"/>
      <c r="E36" s="60"/>
      <c r="F36" s="60"/>
      <c r="G36" s="60"/>
      <c r="H36" s="60"/>
      <c r="I36" s="60"/>
      <c r="J36" s="60"/>
      <c r="K36" s="60"/>
      <c r="L36" s="60"/>
      <c r="AC36" s="60"/>
      <c r="AD36" s="60"/>
    </row>
    <row r="37" spans="1:30" ht="35" customHeight="1" x14ac:dyDescent="0.2">
      <c r="A37" s="52">
        <v>10</v>
      </c>
      <c r="B37" s="52"/>
      <c r="C37" s="60"/>
      <c r="D37" s="60"/>
      <c r="E37" s="60"/>
      <c r="F37" s="60"/>
      <c r="G37" s="60"/>
      <c r="H37" s="60"/>
      <c r="I37" s="60"/>
      <c r="J37" s="60"/>
      <c r="K37" s="60"/>
      <c r="L37" s="60"/>
      <c r="AC37" s="60"/>
      <c r="AD37" s="60"/>
    </row>
    <row r="38" spans="1:30" ht="35" customHeight="1" x14ac:dyDescent="0.2">
      <c r="A38" s="103">
        <v>1030</v>
      </c>
      <c r="B38" s="52"/>
      <c r="C38" s="60"/>
      <c r="D38" s="60"/>
      <c r="E38" s="60"/>
      <c r="F38" s="60"/>
      <c r="G38" s="60"/>
      <c r="H38" s="60"/>
      <c r="I38" s="60"/>
      <c r="J38" s="60"/>
      <c r="K38" s="60"/>
      <c r="L38" s="60"/>
      <c r="AC38" s="60"/>
      <c r="AD38" s="60"/>
    </row>
    <row r="39" spans="1:30" ht="35" customHeight="1" x14ac:dyDescent="0.2">
      <c r="A39" s="52">
        <v>11</v>
      </c>
      <c r="B39" s="52"/>
      <c r="C39" s="60"/>
      <c r="D39" s="60"/>
      <c r="E39" s="60"/>
      <c r="F39" s="60"/>
      <c r="G39" s="60"/>
      <c r="H39" s="60"/>
      <c r="I39" s="60"/>
      <c r="J39" s="60"/>
      <c r="K39" s="60"/>
      <c r="L39" s="60"/>
      <c r="AC39" s="60"/>
      <c r="AD39" s="60"/>
    </row>
    <row r="40" spans="1:30" ht="35" customHeight="1" x14ac:dyDescent="0.2">
      <c r="A40" s="103">
        <v>1130</v>
      </c>
      <c r="B40" s="52"/>
      <c r="C40" s="60"/>
      <c r="D40" s="60"/>
      <c r="E40" s="60"/>
      <c r="F40" s="60"/>
      <c r="G40" s="60"/>
      <c r="H40" s="60"/>
      <c r="I40" s="60"/>
      <c r="J40" s="60"/>
      <c r="K40" s="60"/>
      <c r="L40" s="60"/>
      <c r="AC40" s="60"/>
      <c r="AD40" s="60"/>
    </row>
    <row r="41" spans="1:30" ht="35" customHeight="1" x14ac:dyDescent="0.2">
      <c r="A41" s="52">
        <v>12</v>
      </c>
      <c r="B41" s="52"/>
      <c r="C41" s="60"/>
      <c r="D41" s="60"/>
      <c r="E41" s="60"/>
      <c r="F41" s="60"/>
      <c r="G41" s="60"/>
      <c r="H41" s="60"/>
      <c r="I41" s="60"/>
      <c r="J41" s="60"/>
      <c r="K41" s="60"/>
      <c r="L41" s="60"/>
      <c r="AC41" s="60"/>
      <c r="AD41" s="60"/>
    </row>
  </sheetData>
  <mergeCells count="14">
    <mergeCell ref="B1:D1"/>
    <mergeCell ref="F1:I1"/>
    <mergeCell ref="K1:M1"/>
    <mergeCell ref="AE14:AJ14"/>
    <mergeCell ref="AE18:AJ18"/>
    <mergeCell ref="AE12:AJ12"/>
    <mergeCell ref="AE13:AJ13"/>
    <mergeCell ref="AE16:AJ16"/>
    <mergeCell ref="AE17:AJ17"/>
    <mergeCell ref="O1:R1"/>
    <mergeCell ref="T1:V1"/>
    <mergeCell ref="X1:AA1"/>
    <mergeCell ref="E6:E8"/>
    <mergeCell ref="J6:J8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B4C2-8757-E749-9795-CF125AC46992}">
  <dimension ref="A1:G60"/>
  <sheetViews>
    <sheetView topLeftCell="A25" workbookViewId="0">
      <selection activeCell="A33" sqref="A33:XFD45"/>
    </sheetView>
  </sheetViews>
  <sheetFormatPr baseColWidth="10" defaultRowHeight="16" x14ac:dyDescent="0.2"/>
  <cols>
    <col min="2" max="2" width="17.1640625" customWidth="1"/>
    <col min="3" max="3" width="37" customWidth="1"/>
    <col min="4" max="4" width="15.5" bestFit="1" customWidth="1"/>
  </cols>
  <sheetData>
    <row r="1" spans="1:7" x14ac:dyDescent="0.2">
      <c r="A1" s="217"/>
      <c r="B1" s="217"/>
      <c r="C1" s="217"/>
      <c r="D1" s="217"/>
      <c r="E1" s="217"/>
      <c r="F1" s="217"/>
      <c r="G1" s="217"/>
    </row>
    <row r="2" spans="1:7" ht="17" thickBot="1" x14ac:dyDescent="0.25">
      <c r="A2" s="217"/>
      <c r="B2" s="217"/>
      <c r="C2" s="217"/>
      <c r="D2" s="217"/>
      <c r="E2" s="217"/>
      <c r="F2" s="217"/>
      <c r="G2" s="217"/>
    </row>
    <row r="3" spans="1:7" ht="17" thickBot="1" x14ac:dyDescent="0.25">
      <c r="A3" s="217"/>
      <c r="B3" s="219" t="s">
        <v>74</v>
      </c>
      <c r="C3" s="220" t="s">
        <v>432</v>
      </c>
      <c r="D3" s="221" t="s">
        <v>37</v>
      </c>
      <c r="E3" s="221" t="s">
        <v>39</v>
      </c>
      <c r="F3" s="222" t="s">
        <v>73</v>
      </c>
      <c r="G3" s="223"/>
    </row>
    <row r="4" spans="1:7" x14ac:dyDescent="0.2">
      <c r="A4" s="217"/>
      <c r="B4" s="224" t="s">
        <v>0</v>
      </c>
      <c r="C4" s="225" t="s">
        <v>188</v>
      </c>
      <c r="D4" s="226" t="s">
        <v>5</v>
      </c>
      <c r="E4" s="227" t="s">
        <v>18</v>
      </c>
      <c r="F4" s="228">
        <v>3</v>
      </c>
      <c r="G4" s="223"/>
    </row>
    <row r="5" spans="1:7" x14ac:dyDescent="0.2">
      <c r="A5" s="217"/>
      <c r="B5" s="229" t="s">
        <v>0</v>
      </c>
      <c r="C5" s="230" t="s">
        <v>2</v>
      </c>
      <c r="D5" s="231" t="s">
        <v>6</v>
      </c>
      <c r="E5" s="232" t="s">
        <v>19</v>
      </c>
      <c r="F5" s="233">
        <v>5</v>
      </c>
      <c r="G5" s="223"/>
    </row>
    <row r="6" spans="1:7" x14ac:dyDescent="0.2">
      <c r="A6" s="217"/>
      <c r="B6" s="234" t="s">
        <v>1</v>
      </c>
      <c r="C6" s="235" t="s">
        <v>42</v>
      </c>
      <c r="D6" s="231" t="s">
        <v>3</v>
      </c>
      <c r="E6" s="232" t="s">
        <v>20</v>
      </c>
      <c r="F6" s="233">
        <v>12</v>
      </c>
      <c r="G6" s="223"/>
    </row>
    <row r="7" spans="1:7" ht="31" customHeight="1" x14ac:dyDescent="0.2">
      <c r="A7" s="217"/>
      <c r="B7" s="234" t="s">
        <v>1</v>
      </c>
      <c r="C7" s="235" t="s">
        <v>43</v>
      </c>
      <c r="D7" s="231" t="s">
        <v>4</v>
      </c>
      <c r="E7" s="232" t="s">
        <v>27</v>
      </c>
      <c r="F7" s="236">
        <v>8</v>
      </c>
      <c r="G7" s="32"/>
    </row>
    <row r="8" spans="1:7" x14ac:dyDescent="0.2">
      <c r="A8" s="217"/>
      <c r="B8" s="234" t="s">
        <v>1</v>
      </c>
      <c r="C8" s="235" t="s">
        <v>407</v>
      </c>
      <c r="D8" s="231" t="s">
        <v>34</v>
      </c>
      <c r="E8" s="232" t="s">
        <v>26</v>
      </c>
      <c r="F8" s="236">
        <v>8</v>
      </c>
      <c r="G8" s="32"/>
    </row>
    <row r="9" spans="1:7" ht="31" customHeight="1" x14ac:dyDescent="0.2">
      <c r="A9" s="217"/>
      <c r="B9" s="237" t="s">
        <v>30</v>
      </c>
      <c r="C9" s="238" t="s">
        <v>4</v>
      </c>
      <c r="D9" s="231" t="s">
        <v>7</v>
      </c>
      <c r="E9" s="232" t="s">
        <v>21</v>
      </c>
      <c r="F9" s="236">
        <v>10</v>
      </c>
      <c r="G9" s="32"/>
    </row>
    <row r="10" spans="1:7" x14ac:dyDescent="0.2">
      <c r="A10" s="217"/>
      <c r="B10" s="237" t="s">
        <v>30</v>
      </c>
      <c r="C10" s="238" t="s">
        <v>408</v>
      </c>
      <c r="D10" s="231" t="s">
        <v>8</v>
      </c>
      <c r="E10" s="232" t="s">
        <v>22</v>
      </c>
      <c r="F10" s="236">
        <v>4</v>
      </c>
      <c r="G10" s="32"/>
    </row>
    <row r="11" spans="1:7" x14ac:dyDescent="0.2">
      <c r="A11" s="217"/>
      <c r="B11" s="237" t="s">
        <v>30</v>
      </c>
      <c r="C11" s="238" t="s">
        <v>409</v>
      </c>
      <c r="D11" s="231" t="s">
        <v>9</v>
      </c>
      <c r="E11" s="232" t="s">
        <v>23</v>
      </c>
      <c r="F11" s="236">
        <v>6</v>
      </c>
      <c r="G11" s="32"/>
    </row>
    <row r="12" spans="1:7" x14ac:dyDescent="0.2">
      <c r="A12" s="217"/>
      <c r="B12" s="239" t="s">
        <v>30</v>
      </c>
      <c r="C12" s="240" t="s">
        <v>410</v>
      </c>
      <c r="D12" s="231" t="s">
        <v>10</v>
      </c>
      <c r="E12" s="232" t="s">
        <v>24</v>
      </c>
      <c r="F12" s="233">
        <v>3</v>
      </c>
      <c r="G12" s="223"/>
    </row>
    <row r="13" spans="1:7" ht="31" customHeight="1" thickBot="1" x14ac:dyDescent="0.25">
      <c r="A13" s="217"/>
      <c r="B13" s="241" t="s">
        <v>79</v>
      </c>
      <c r="C13" s="242" t="s">
        <v>56</v>
      </c>
      <c r="D13" s="243" t="s">
        <v>79</v>
      </c>
      <c r="E13" s="244" t="s">
        <v>79</v>
      </c>
      <c r="F13" s="245" t="s">
        <v>79</v>
      </c>
      <c r="G13" s="217"/>
    </row>
    <row r="14" spans="1:7" x14ac:dyDescent="0.2">
      <c r="A14" s="217"/>
      <c r="B14" s="229" t="s">
        <v>0</v>
      </c>
      <c r="C14" s="246" t="s">
        <v>189</v>
      </c>
      <c r="D14" s="217"/>
      <c r="E14" s="217"/>
      <c r="F14" s="217"/>
      <c r="G14" s="217"/>
    </row>
    <row r="15" spans="1:7" x14ac:dyDescent="0.2">
      <c r="A15" s="217"/>
      <c r="B15" s="229" t="s">
        <v>0</v>
      </c>
      <c r="C15" s="246" t="s">
        <v>57</v>
      </c>
      <c r="D15" s="217"/>
      <c r="E15" s="217"/>
      <c r="F15" s="217"/>
      <c r="G15" s="217"/>
    </row>
    <row r="16" spans="1:7" x14ac:dyDescent="0.2">
      <c r="A16" s="217"/>
      <c r="B16" s="234" t="s">
        <v>1</v>
      </c>
      <c r="C16" s="247" t="s">
        <v>58</v>
      </c>
      <c r="D16" s="217"/>
      <c r="E16" s="217"/>
      <c r="F16" s="217"/>
      <c r="G16" s="217"/>
    </row>
    <row r="17" spans="1:7" ht="31" customHeight="1" x14ac:dyDescent="0.2">
      <c r="A17" s="217"/>
      <c r="B17" s="234" t="s">
        <v>1</v>
      </c>
      <c r="C17" s="247" t="s">
        <v>59</v>
      </c>
      <c r="D17" s="217"/>
      <c r="E17" s="217"/>
      <c r="F17" s="217"/>
      <c r="G17" s="217"/>
    </row>
    <row r="18" spans="1:7" x14ac:dyDescent="0.2">
      <c r="A18" s="217"/>
      <c r="B18" s="234" t="s">
        <v>1</v>
      </c>
      <c r="C18" s="247" t="s">
        <v>60</v>
      </c>
      <c r="D18" s="217"/>
      <c r="E18" s="217"/>
      <c r="F18" s="217"/>
      <c r="G18" s="217"/>
    </row>
    <row r="19" spans="1:7" ht="31" customHeight="1" x14ac:dyDescent="0.2">
      <c r="A19" s="217"/>
      <c r="B19" s="237" t="s">
        <v>30</v>
      </c>
      <c r="C19" s="236" t="s">
        <v>61</v>
      </c>
      <c r="D19" s="217"/>
      <c r="E19" s="217"/>
      <c r="F19" s="217"/>
      <c r="G19" s="217"/>
    </row>
    <row r="20" spans="1:7" x14ac:dyDescent="0.2">
      <c r="A20" s="217"/>
      <c r="B20" s="237" t="s">
        <v>30</v>
      </c>
      <c r="C20" s="236" t="s">
        <v>62</v>
      </c>
      <c r="D20" s="217"/>
      <c r="E20" s="217"/>
      <c r="F20" s="217"/>
      <c r="G20" s="217"/>
    </row>
    <row r="21" spans="1:7" ht="31" customHeight="1" x14ac:dyDescent="0.2">
      <c r="A21" s="217"/>
      <c r="B21" s="237" t="s">
        <v>30</v>
      </c>
      <c r="C21" s="236" t="s">
        <v>63</v>
      </c>
      <c r="D21" s="217"/>
      <c r="E21" s="217"/>
      <c r="F21" s="217"/>
      <c r="G21" s="217"/>
    </row>
    <row r="22" spans="1:7" x14ac:dyDescent="0.2">
      <c r="A22" s="217"/>
      <c r="B22" s="239" t="s">
        <v>30</v>
      </c>
      <c r="C22" s="233" t="s">
        <v>64</v>
      </c>
      <c r="D22" s="217"/>
      <c r="E22" s="217"/>
      <c r="F22" s="217"/>
      <c r="G22" s="217"/>
    </row>
    <row r="23" spans="1:7" ht="31" customHeight="1" x14ac:dyDescent="0.2">
      <c r="A23" s="217"/>
      <c r="B23" s="229" t="s">
        <v>0</v>
      </c>
      <c r="C23" s="246" t="s">
        <v>190</v>
      </c>
      <c r="D23" s="217"/>
      <c r="E23" s="217"/>
      <c r="F23" s="217"/>
      <c r="G23" s="217"/>
    </row>
    <row r="24" spans="1:7" x14ac:dyDescent="0.2">
      <c r="A24" s="217"/>
      <c r="B24" s="229" t="s">
        <v>0</v>
      </c>
      <c r="C24" s="246" t="s">
        <v>65</v>
      </c>
      <c r="D24" s="217"/>
      <c r="E24" s="217"/>
      <c r="F24" s="217"/>
      <c r="G24" s="217"/>
    </row>
    <row r="25" spans="1:7" ht="31" customHeight="1" x14ac:dyDescent="0.2">
      <c r="A25" s="217"/>
      <c r="B25" s="234" t="s">
        <v>1</v>
      </c>
      <c r="C25" s="247" t="s">
        <v>66</v>
      </c>
      <c r="D25" s="217"/>
      <c r="E25" s="217"/>
      <c r="F25" s="217"/>
      <c r="G25" s="217"/>
    </row>
    <row r="26" spans="1:7" x14ac:dyDescent="0.2">
      <c r="A26" s="217"/>
      <c r="B26" s="234" t="s">
        <v>1</v>
      </c>
      <c r="C26" s="247" t="s">
        <v>67</v>
      </c>
      <c r="D26" s="217"/>
      <c r="E26" s="217"/>
      <c r="F26" s="217"/>
      <c r="G26" s="217"/>
    </row>
    <row r="27" spans="1:7" ht="31" customHeight="1" x14ac:dyDescent="0.2">
      <c r="A27" s="217"/>
      <c r="B27" s="234" t="s">
        <v>1</v>
      </c>
      <c r="C27" s="247" t="s">
        <v>68</v>
      </c>
      <c r="D27" s="217"/>
      <c r="E27" s="217"/>
      <c r="F27" s="217"/>
      <c r="G27" s="217"/>
    </row>
    <row r="28" spans="1:7" x14ac:dyDescent="0.2">
      <c r="A28" s="217"/>
      <c r="B28" s="237" t="s">
        <v>30</v>
      </c>
      <c r="C28" s="236" t="s">
        <v>69</v>
      </c>
      <c r="D28" s="217"/>
      <c r="E28" s="217"/>
      <c r="F28" s="217"/>
      <c r="G28" s="217"/>
    </row>
    <row r="29" spans="1:7" ht="31" customHeight="1" x14ac:dyDescent="0.2">
      <c r="A29" s="217"/>
      <c r="B29" s="237" t="s">
        <v>30</v>
      </c>
      <c r="C29" s="236" t="s">
        <v>70</v>
      </c>
      <c r="D29" s="217"/>
      <c r="E29" s="217"/>
      <c r="F29" s="217"/>
      <c r="G29" s="217"/>
    </row>
    <row r="30" spans="1:7" x14ac:dyDescent="0.2">
      <c r="A30" s="217"/>
      <c r="B30" s="237" t="s">
        <v>30</v>
      </c>
      <c r="C30" s="236" t="s">
        <v>71</v>
      </c>
      <c r="D30" s="217"/>
      <c r="E30" s="217"/>
      <c r="F30" s="217"/>
      <c r="G30" s="217"/>
    </row>
    <row r="31" spans="1:7" ht="17" thickBot="1" x14ac:dyDescent="0.25">
      <c r="A31" s="217"/>
      <c r="B31" s="248" t="s">
        <v>30</v>
      </c>
      <c r="C31" s="249" t="s">
        <v>72</v>
      </c>
      <c r="D31" s="217"/>
      <c r="E31" s="217"/>
      <c r="F31" s="217"/>
      <c r="G31" s="217"/>
    </row>
    <row r="32" spans="1:7" x14ac:dyDescent="0.2">
      <c r="A32" s="217"/>
      <c r="B32" s="217"/>
      <c r="C32" s="217"/>
      <c r="D32" s="217"/>
      <c r="E32" s="217"/>
      <c r="F32" s="217"/>
      <c r="G32" s="217"/>
    </row>
    <row r="33" spans="1:7" x14ac:dyDescent="0.2">
      <c r="A33" s="217"/>
      <c r="B33" s="217"/>
      <c r="C33" s="217"/>
      <c r="D33" s="217"/>
      <c r="E33" s="217"/>
      <c r="F33" s="217"/>
      <c r="G33" s="217"/>
    </row>
    <row r="34" spans="1:7" x14ac:dyDescent="0.2">
      <c r="A34" s="217"/>
      <c r="B34" s="217"/>
      <c r="C34" s="217"/>
      <c r="D34" s="217"/>
      <c r="E34" s="217"/>
      <c r="F34" s="217"/>
      <c r="G34" s="217"/>
    </row>
    <row r="35" spans="1:7" x14ac:dyDescent="0.2">
      <c r="A35" s="217"/>
      <c r="B35" s="217"/>
      <c r="C35" s="217"/>
      <c r="D35" s="217"/>
      <c r="E35" s="217"/>
      <c r="F35" s="217"/>
      <c r="G35" s="217"/>
    </row>
    <row r="36" spans="1:7" x14ac:dyDescent="0.2">
      <c r="A36" s="217"/>
      <c r="B36" s="217"/>
      <c r="C36" s="217"/>
      <c r="D36" s="217"/>
      <c r="E36" s="217"/>
      <c r="F36" s="217"/>
      <c r="G36" s="217"/>
    </row>
    <row r="37" spans="1:7" x14ac:dyDescent="0.2">
      <c r="A37" s="217"/>
      <c r="B37" s="217"/>
      <c r="C37" s="217"/>
      <c r="D37" s="217"/>
      <c r="E37" s="217"/>
      <c r="F37" s="217"/>
      <c r="G37" s="217"/>
    </row>
    <row r="38" spans="1:7" x14ac:dyDescent="0.2">
      <c r="A38" s="217"/>
      <c r="B38" s="217"/>
      <c r="C38" s="217"/>
      <c r="D38" s="217"/>
      <c r="E38" s="217"/>
      <c r="F38" s="217"/>
      <c r="G38" s="217"/>
    </row>
    <row r="39" spans="1:7" x14ac:dyDescent="0.2">
      <c r="A39" s="217"/>
      <c r="B39" s="217"/>
      <c r="C39" s="217"/>
      <c r="D39" s="217"/>
      <c r="E39" s="217"/>
      <c r="F39" s="217"/>
      <c r="G39" s="217"/>
    </row>
    <row r="40" spans="1:7" x14ac:dyDescent="0.2">
      <c r="A40" s="217"/>
      <c r="B40" s="217"/>
      <c r="C40" s="217"/>
      <c r="D40" s="217"/>
      <c r="E40" s="217"/>
      <c r="F40" s="217"/>
      <c r="G40" s="217"/>
    </row>
    <row r="41" spans="1:7" x14ac:dyDescent="0.2">
      <c r="A41" s="217"/>
      <c r="B41" s="217"/>
      <c r="C41" s="217"/>
      <c r="D41" s="217"/>
      <c r="E41" s="217"/>
      <c r="F41" s="217"/>
      <c r="G41" s="217"/>
    </row>
    <row r="42" spans="1:7" x14ac:dyDescent="0.2">
      <c r="A42" s="217"/>
      <c r="B42" s="217"/>
      <c r="C42" s="217"/>
      <c r="D42" s="217"/>
      <c r="E42" s="217"/>
      <c r="F42" s="217"/>
      <c r="G42" s="217"/>
    </row>
    <row r="43" spans="1:7" x14ac:dyDescent="0.2">
      <c r="A43" s="217"/>
      <c r="B43" s="217"/>
      <c r="C43" s="217"/>
      <c r="D43" s="217"/>
      <c r="E43" s="217"/>
      <c r="F43" s="217"/>
      <c r="G43" s="217"/>
    </row>
    <row r="44" spans="1:7" x14ac:dyDescent="0.2">
      <c r="A44" s="217"/>
      <c r="B44" s="217"/>
      <c r="C44" s="217"/>
      <c r="D44" s="217"/>
      <c r="E44" s="217"/>
      <c r="F44" s="217"/>
      <c r="G44" s="217"/>
    </row>
    <row r="45" spans="1:7" x14ac:dyDescent="0.2">
      <c r="A45" s="217"/>
      <c r="B45" s="217"/>
      <c r="C45" s="217"/>
      <c r="D45" s="217"/>
      <c r="E45" s="217"/>
      <c r="F45" s="217"/>
      <c r="G45" s="217"/>
    </row>
    <row r="46" spans="1:7" x14ac:dyDescent="0.2">
      <c r="A46" s="217"/>
      <c r="B46" s="217"/>
      <c r="C46" s="217"/>
      <c r="D46" s="217"/>
      <c r="E46" s="217"/>
      <c r="F46" s="217"/>
      <c r="G46" s="217"/>
    </row>
    <row r="47" spans="1:7" x14ac:dyDescent="0.2">
      <c r="A47" s="217"/>
      <c r="B47" s="217"/>
      <c r="C47" s="217"/>
      <c r="D47" s="217"/>
      <c r="E47" s="217"/>
      <c r="F47" s="217"/>
      <c r="G47" s="217"/>
    </row>
    <row r="48" spans="1:7" x14ac:dyDescent="0.2">
      <c r="A48" s="217"/>
      <c r="B48" s="217"/>
      <c r="C48" s="217"/>
      <c r="D48" s="217"/>
      <c r="E48" s="217"/>
      <c r="F48" s="217"/>
      <c r="G48" s="217"/>
    </row>
    <row r="49" spans="1:7" x14ac:dyDescent="0.2">
      <c r="A49" s="217"/>
      <c r="B49" s="217"/>
      <c r="C49" s="217"/>
      <c r="D49" s="217"/>
      <c r="E49" s="217"/>
      <c r="F49" s="217"/>
      <c r="G49" s="217"/>
    </row>
    <row r="50" spans="1:7" x14ac:dyDescent="0.2">
      <c r="A50" s="217"/>
      <c r="B50" s="217"/>
      <c r="C50" s="217"/>
      <c r="D50" s="217"/>
      <c r="E50" s="217"/>
      <c r="F50" s="217"/>
      <c r="G50" s="217"/>
    </row>
    <row r="51" spans="1:7" x14ac:dyDescent="0.2">
      <c r="A51" s="217"/>
      <c r="B51" s="217"/>
      <c r="C51" s="217"/>
      <c r="D51" s="217"/>
      <c r="E51" s="217"/>
      <c r="F51" s="217"/>
      <c r="G51" s="217"/>
    </row>
    <row r="52" spans="1:7" x14ac:dyDescent="0.2">
      <c r="A52" s="217"/>
      <c r="B52" s="217"/>
      <c r="C52" s="217"/>
      <c r="D52" s="217"/>
      <c r="E52" s="217"/>
      <c r="F52" s="217"/>
      <c r="G52" s="217"/>
    </row>
    <row r="53" spans="1:7" x14ac:dyDescent="0.2">
      <c r="A53" s="217"/>
      <c r="B53" s="217"/>
      <c r="C53" s="217"/>
      <c r="D53" s="217"/>
      <c r="E53" s="217"/>
      <c r="F53" s="217"/>
      <c r="G53" s="217"/>
    </row>
    <row r="54" spans="1:7" x14ac:dyDescent="0.2">
      <c r="A54" s="217"/>
      <c r="B54" s="217"/>
      <c r="C54" s="217"/>
      <c r="D54" s="217"/>
      <c r="E54" s="217"/>
      <c r="F54" s="217"/>
      <c r="G54" s="217"/>
    </row>
    <row r="55" spans="1:7" x14ac:dyDescent="0.2">
      <c r="A55" s="217"/>
      <c r="B55" s="217"/>
      <c r="C55" s="217"/>
      <c r="D55" s="217"/>
      <c r="E55" s="217"/>
      <c r="F55" s="217"/>
      <c r="G55" s="217"/>
    </row>
    <row r="56" spans="1:7" x14ac:dyDescent="0.2">
      <c r="A56" s="217"/>
      <c r="B56" s="217"/>
      <c r="C56" s="217"/>
      <c r="D56" s="217"/>
      <c r="E56" s="217"/>
      <c r="F56" s="217"/>
      <c r="G56" s="217"/>
    </row>
    <row r="57" spans="1:7" x14ac:dyDescent="0.2">
      <c r="A57" s="217"/>
      <c r="B57" s="217"/>
      <c r="C57" s="217"/>
      <c r="D57" s="217"/>
      <c r="E57" s="217"/>
      <c r="F57" s="217"/>
      <c r="G57" s="217"/>
    </row>
    <row r="58" spans="1:7" x14ac:dyDescent="0.2">
      <c r="A58" s="217"/>
      <c r="B58" s="217"/>
      <c r="C58" s="217"/>
      <c r="D58" s="217"/>
      <c r="E58" s="217"/>
      <c r="F58" s="217"/>
      <c r="G58" s="217"/>
    </row>
    <row r="59" spans="1:7" x14ac:dyDescent="0.2">
      <c r="A59" s="217"/>
      <c r="B59" s="217"/>
      <c r="C59" s="217"/>
      <c r="D59" s="217"/>
      <c r="E59" s="217"/>
      <c r="F59" s="217"/>
      <c r="G59" s="217"/>
    </row>
    <row r="60" spans="1:7" x14ac:dyDescent="0.2">
      <c r="A60" s="217"/>
      <c r="B60" s="217"/>
      <c r="C60" s="217"/>
      <c r="D60" s="217"/>
      <c r="E60" s="217"/>
      <c r="F60" s="217"/>
      <c r="G60" s="2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45D0-294B-324C-866B-4765862AC23E}">
  <dimension ref="A1:U49"/>
  <sheetViews>
    <sheetView topLeftCell="A10" zoomScale="83" workbookViewId="0">
      <selection activeCell="L1" sqref="L1:S1"/>
    </sheetView>
  </sheetViews>
  <sheetFormatPr baseColWidth="10" defaultColWidth="12.6640625" defaultRowHeight="28" customHeight="1" x14ac:dyDescent="0.2"/>
  <cols>
    <col min="1" max="1" width="14.83203125" customWidth="1"/>
    <col min="12" max="12" width="17.1640625" bestFit="1" customWidth="1"/>
  </cols>
  <sheetData>
    <row r="1" spans="1:20" ht="28" customHeight="1" thickBot="1" x14ac:dyDescent="0.25">
      <c r="A1" s="283" t="s">
        <v>88</v>
      </c>
      <c r="B1" s="284"/>
      <c r="C1" s="284"/>
      <c r="D1" s="284"/>
      <c r="E1" s="284"/>
      <c r="F1" s="284"/>
      <c r="G1" s="284"/>
      <c r="H1" s="285"/>
      <c r="I1" s="1"/>
      <c r="L1" s="283" t="s">
        <v>321</v>
      </c>
      <c r="M1" s="284"/>
      <c r="N1" s="284"/>
      <c r="O1" s="284"/>
      <c r="P1" s="284"/>
      <c r="Q1" s="284"/>
      <c r="R1" s="284"/>
      <c r="S1" s="285"/>
      <c r="T1" s="1"/>
    </row>
    <row r="2" spans="1:20" ht="28" customHeight="1" thickBot="1" x14ac:dyDescent="0.25">
      <c r="A2" s="8"/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7" t="s">
        <v>53</v>
      </c>
      <c r="I2" s="1"/>
      <c r="L2" s="8"/>
      <c r="M2" s="6" t="s">
        <v>47</v>
      </c>
      <c r="N2" s="6" t="s">
        <v>48</v>
      </c>
      <c r="O2" s="6" t="s">
        <v>49</v>
      </c>
      <c r="P2" s="6" t="s">
        <v>50</v>
      </c>
      <c r="Q2" s="6" t="s">
        <v>51</v>
      </c>
      <c r="R2" s="6" t="s">
        <v>52</v>
      </c>
      <c r="S2" s="7" t="s">
        <v>53</v>
      </c>
      <c r="T2" s="1"/>
    </row>
    <row r="3" spans="1:20" ht="28" customHeight="1" x14ac:dyDescent="0.2">
      <c r="A3" s="286">
        <v>0.25</v>
      </c>
      <c r="B3" s="288"/>
      <c r="C3" s="288"/>
      <c r="D3" s="288"/>
      <c r="E3" s="288"/>
      <c r="F3" s="288"/>
      <c r="G3" s="288"/>
      <c r="H3" s="288"/>
      <c r="I3" s="1"/>
      <c r="L3" s="286">
        <v>0.25</v>
      </c>
      <c r="M3" s="288"/>
      <c r="N3" s="288"/>
      <c r="O3" s="288"/>
      <c r="P3" s="288"/>
      <c r="Q3" s="288"/>
      <c r="R3" s="288"/>
      <c r="S3" s="288"/>
      <c r="T3" s="1"/>
    </row>
    <row r="4" spans="1:20" ht="28" customHeight="1" thickBot="1" x14ac:dyDescent="0.25">
      <c r="A4" s="287"/>
      <c r="B4" s="289"/>
      <c r="C4" s="289"/>
      <c r="D4" s="289"/>
      <c r="E4" s="289"/>
      <c r="F4" s="289"/>
      <c r="G4" s="289"/>
      <c r="H4" s="289"/>
      <c r="I4" s="1"/>
      <c r="L4" s="287"/>
      <c r="M4" s="289"/>
      <c r="N4" s="289"/>
      <c r="O4" s="289"/>
      <c r="P4" s="289"/>
      <c r="Q4" s="289"/>
      <c r="R4" s="289"/>
      <c r="S4" s="289"/>
      <c r="T4" s="1"/>
    </row>
    <row r="5" spans="1:20" ht="28" customHeight="1" x14ac:dyDescent="0.2">
      <c r="A5" s="286">
        <v>0.29166666666666702</v>
      </c>
      <c r="B5" s="288"/>
      <c r="C5" s="288"/>
      <c r="D5" s="288"/>
      <c r="E5" s="288"/>
      <c r="F5" s="288"/>
      <c r="G5" s="356"/>
      <c r="H5" s="356"/>
      <c r="I5" s="1"/>
      <c r="L5" s="286">
        <v>0.29166666666666702</v>
      </c>
      <c r="M5" s="288"/>
      <c r="N5" s="288"/>
      <c r="O5" s="288"/>
      <c r="P5" s="288"/>
      <c r="Q5" s="288"/>
      <c r="R5" s="290" t="s">
        <v>43</v>
      </c>
      <c r="S5" s="290" t="s">
        <v>43</v>
      </c>
      <c r="T5" s="1"/>
    </row>
    <row r="6" spans="1:20" ht="28" customHeight="1" thickBot="1" x14ac:dyDescent="0.25">
      <c r="A6" s="287"/>
      <c r="B6" s="289"/>
      <c r="C6" s="289"/>
      <c r="D6" s="289"/>
      <c r="E6" s="289"/>
      <c r="F6" s="289"/>
      <c r="G6" s="357"/>
      <c r="H6" s="357"/>
      <c r="I6" s="1"/>
      <c r="L6" s="287"/>
      <c r="M6" s="289"/>
      <c r="N6" s="289"/>
      <c r="O6" s="289"/>
      <c r="P6" s="289"/>
      <c r="Q6" s="289"/>
      <c r="R6" s="291"/>
      <c r="S6" s="291"/>
      <c r="T6" s="1"/>
    </row>
    <row r="7" spans="1:20" ht="28" customHeight="1" x14ac:dyDescent="0.2">
      <c r="A7" s="286">
        <v>0.33333333333333298</v>
      </c>
      <c r="B7" s="356"/>
      <c r="C7" s="356"/>
      <c r="D7" s="356"/>
      <c r="E7" s="356"/>
      <c r="F7" s="356"/>
      <c r="G7" s="296" t="s">
        <v>12</v>
      </c>
      <c r="H7" s="296" t="s">
        <v>43</v>
      </c>
      <c r="I7" s="1"/>
      <c r="L7" s="286">
        <v>0.33333333333333298</v>
      </c>
      <c r="M7" s="290" t="s">
        <v>42</v>
      </c>
      <c r="N7" s="290" t="s">
        <v>43</v>
      </c>
      <c r="O7" s="288" t="s">
        <v>12</v>
      </c>
      <c r="P7" s="290" t="s">
        <v>42</v>
      </c>
      <c r="Q7" s="290" t="s">
        <v>43</v>
      </c>
      <c r="R7" s="294" t="s">
        <v>12</v>
      </c>
      <c r="S7" s="294" t="s">
        <v>12</v>
      </c>
    </row>
    <row r="8" spans="1:20" ht="28" customHeight="1" thickBot="1" x14ac:dyDescent="0.25">
      <c r="A8" s="287"/>
      <c r="B8" s="357"/>
      <c r="C8" s="357"/>
      <c r="D8" s="357"/>
      <c r="E8" s="357"/>
      <c r="F8" s="357"/>
      <c r="G8" s="297"/>
      <c r="H8" s="297"/>
      <c r="I8" s="1"/>
      <c r="L8" s="287"/>
      <c r="M8" s="291"/>
      <c r="N8" s="291"/>
      <c r="O8" s="289"/>
      <c r="P8" s="291"/>
      <c r="Q8" s="291"/>
      <c r="R8" s="295"/>
      <c r="S8" s="295"/>
    </row>
    <row r="9" spans="1:20" ht="28" customHeight="1" x14ac:dyDescent="0.2">
      <c r="A9" s="286">
        <v>0.375</v>
      </c>
      <c r="B9" s="288" t="s">
        <v>42</v>
      </c>
      <c r="C9" s="288" t="s">
        <v>43</v>
      </c>
      <c r="D9" s="288" t="s">
        <v>12</v>
      </c>
      <c r="E9" s="288" t="s">
        <v>42</v>
      </c>
      <c r="F9" s="288" t="s">
        <v>43</v>
      </c>
      <c r="G9" s="296" t="s">
        <v>31</v>
      </c>
      <c r="H9" s="296" t="s">
        <v>15</v>
      </c>
      <c r="I9" s="1"/>
      <c r="L9" s="286">
        <v>0.375</v>
      </c>
      <c r="M9" s="288" t="s">
        <v>4</v>
      </c>
      <c r="N9" s="288" t="s">
        <v>4</v>
      </c>
      <c r="O9" s="288" t="s">
        <v>31</v>
      </c>
      <c r="P9" s="288" t="s">
        <v>4</v>
      </c>
      <c r="Q9" s="288" t="s">
        <v>4</v>
      </c>
      <c r="R9" s="288" t="s">
        <v>31</v>
      </c>
      <c r="S9" s="288" t="s">
        <v>15</v>
      </c>
      <c r="T9" s="1"/>
    </row>
    <row r="10" spans="1:20" ht="28" customHeight="1" thickBot="1" x14ac:dyDescent="0.25">
      <c r="A10" s="287"/>
      <c r="B10" s="289"/>
      <c r="C10" s="289"/>
      <c r="D10" s="289"/>
      <c r="E10" s="289"/>
      <c r="F10" s="289"/>
      <c r="G10" s="297"/>
      <c r="H10" s="297"/>
      <c r="I10" s="1"/>
      <c r="L10" s="287"/>
      <c r="M10" s="289"/>
      <c r="N10" s="289"/>
      <c r="O10" s="289"/>
      <c r="P10" s="289"/>
      <c r="Q10" s="289"/>
      <c r="R10" s="289"/>
      <c r="S10" s="289"/>
      <c r="T10" s="1"/>
    </row>
    <row r="11" spans="1:20" ht="28" customHeight="1" x14ac:dyDescent="0.2">
      <c r="A11" s="286">
        <v>0.41666666666666702</v>
      </c>
      <c r="B11" s="288" t="s">
        <v>4</v>
      </c>
      <c r="C11" s="288" t="s">
        <v>4</v>
      </c>
      <c r="D11" s="288" t="s">
        <v>31</v>
      </c>
      <c r="E11" s="358" t="s">
        <v>2</v>
      </c>
      <c r="F11" s="288" t="s">
        <v>4</v>
      </c>
      <c r="G11" s="358" t="s">
        <v>188</v>
      </c>
      <c r="H11" s="358" t="s">
        <v>188</v>
      </c>
      <c r="I11" s="1"/>
      <c r="L11" s="286">
        <v>0.41666666666666702</v>
      </c>
      <c r="M11" s="290" t="s">
        <v>43</v>
      </c>
      <c r="N11" s="290" t="s">
        <v>43</v>
      </c>
      <c r="O11" s="290" t="s">
        <v>43</v>
      </c>
      <c r="P11" s="290" t="s">
        <v>43</v>
      </c>
      <c r="Q11" s="290" t="s">
        <v>43</v>
      </c>
      <c r="R11" s="304" t="s">
        <v>33</v>
      </c>
      <c r="S11" s="288" t="s">
        <v>4</v>
      </c>
    </row>
    <row r="12" spans="1:20" ht="28" customHeight="1" thickBot="1" x14ac:dyDescent="0.25">
      <c r="A12" s="287"/>
      <c r="B12" s="289"/>
      <c r="C12" s="289"/>
      <c r="D12" s="289"/>
      <c r="E12" s="359"/>
      <c r="F12" s="289"/>
      <c r="G12" s="359"/>
      <c r="H12" s="359"/>
      <c r="I12" s="1"/>
      <c r="L12" s="287"/>
      <c r="M12" s="291"/>
      <c r="N12" s="291"/>
      <c r="O12" s="291"/>
      <c r="P12" s="291"/>
      <c r="Q12" s="291"/>
      <c r="R12" s="305"/>
      <c r="S12" s="289"/>
    </row>
    <row r="13" spans="1:20" ht="28" customHeight="1" x14ac:dyDescent="0.2">
      <c r="A13" s="286">
        <v>0.45833333333333298</v>
      </c>
      <c r="B13" s="288" t="s">
        <v>43</v>
      </c>
      <c r="C13" s="358" t="s">
        <v>2</v>
      </c>
      <c r="D13" s="288" t="s">
        <v>43</v>
      </c>
      <c r="E13" s="288" t="s">
        <v>43</v>
      </c>
      <c r="F13" s="288" t="s">
        <v>12</v>
      </c>
      <c r="G13" s="296" t="s">
        <v>43</v>
      </c>
      <c r="H13" s="296" t="s">
        <v>43</v>
      </c>
      <c r="I13" s="1"/>
      <c r="L13" s="286">
        <v>0.45833333333333298</v>
      </c>
      <c r="M13" s="288" t="s">
        <v>31</v>
      </c>
      <c r="N13" s="288" t="s">
        <v>31</v>
      </c>
      <c r="O13" s="288" t="s">
        <v>33</v>
      </c>
      <c r="P13" s="288" t="s">
        <v>31</v>
      </c>
      <c r="Q13" s="288" t="s">
        <v>33</v>
      </c>
      <c r="R13" s="302" t="s">
        <v>43</v>
      </c>
      <c r="S13" s="302" t="s">
        <v>43</v>
      </c>
      <c r="T13" s="1"/>
    </row>
    <row r="14" spans="1:20" ht="28" customHeight="1" thickBot="1" x14ac:dyDescent="0.25">
      <c r="A14" s="287"/>
      <c r="B14" s="289"/>
      <c r="C14" s="359"/>
      <c r="D14" s="289"/>
      <c r="E14" s="289"/>
      <c r="F14" s="289"/>
      <c r="G14" s="297"/>
      <c r="H14" s="297"/>
      <c r="I14" s="1"/>
      <c r="L14" s="287"/>
      <c r="M14" s="289"/>
      <c r="N14" s="289"/>
      <c r="O14" s="289"/>
      <c r="P14" s="289"/>
      <c r="Q14" s="289"/>
      <c r="R14" s="303"/>
      <c r="S14" s="303"/>
      <c r="T14" s="1"/>
    </row>
    <row r="15" spans="1:20" ht="28" customHeight="1" x14ac:dyDescent="0.2">
      <c r="A15" s="286">
        <v>0.5</v>
      </c>
      <c r="B15" s="288" t="s">
        <v>31</v>
      </c>
      <c r="C15" s="288" t="s">
        <v>31</v>
      </c>
      <c r="D15" s="288" t="s">
        <v>33</v>
      </c>
      <c r="E15" s="288" t="s">
        <v>4</v>
      </c>
      <c r="F15" s="288" t="s">
        <v>31</v>
      </c>
      <c r="G15" s="296" t="s">
        <v>55</v>
      </c>
      <c r="H15" s="296" t="s">
        <v>2</v>
      </c>
      <c r="I15" s="1"/>
      <c r="L15" s="286">
        <v>0.5</v>
      </c>
      <c r="M15" s="288" t="s">
        <v>12</v>
      </c>
      <c r="N15" s="290" t="s">
        <v>42</v>
      </c>
      <c r="O15" s="288" t="s">
        <v>12</v>
      </c>
      <c r="P15" s="290" t="s">
        <v>42</v>
      </c>
      <c r="Q15" s="288" t="s">
        <v>12</v>
      </c>
      <c r="R15" s="288" t="s">
        <v>31</v>
      </c>
      <c r="S15" s="288" t="s">
        <v>31</v>
      </c>
    </row>
    <row r="16" spans="1:20" ht="28" customHeight="1" thickBot="1" x14ac:dyDescent="0.25">
      <c r="A16" s="287"/>
      <c r="B16" s="289"/>
      <c r="C16" s="289"/>
      <c r="D16" s="289"/>
      <c r="E16" s="289"/>
      <c r="F16" s="289"/>
      <c r="G16" s="297"/>
      <c r="H16" s="297"/>
      <c r="I16" s="1"/>
      <c r="L16" s="287"/>
      <c r="M16" s="289"/>
      <c r="N16" s="291"/>
      <c r="O16" s="289"/>
      <c r="P16" s="291"/>
      <c r="Q16" s="289"/>
      <c r="R16" s="289"/>
      <c r="S16" s="289"/>
    </row>
    <row r="17" spans="1:20" ht="28" customHeight="1" x14ac:dyDescent="0.2">
      <c r="A17" s="286">
        <v>0.54166666666666696</v>
      </c>
      <c r="B17" s="288" t="s">
        <v>12</v>
      </c>
      <c r="C17" s="288" t="s">
        <v>42</v>
      </c>
      <c r="D17" s="288" t="s">
        <v>12</v>
      </c>
      <c r="E17" s="288" t="s">
        <v>12</v>
      </c>
      <c r="F17" s="358" t="s">
        <v>2</v>
      </c>
      <c r="G17" s="296" t="s">
        <v>12</v>
      </c>
      <c r="H17" s="296" t="s">
        <v>12</v>
      </c>
      <c r="I17" s="1"/>
      <c r="L17" s="286">
        <v>0.54166666666666696</v>
      </c>
      <c r="M17" s="288" t="s">
        <v>33</v>
      </c>
      <c r="N17" s="288" t="s">
        <v>33</v>
      </c>
      <c r="O17" s="288" t="s">
        <v>4</v>
      </c>
      <c r="P17" s="288" t="s">
        <v>31</v>
      </c>
      <c r="Q17" s="288" t="s">
        <v>31</v>
      </c>
      <c r="R17" s="302" t="s">
        <v>43</v>
      </c>
      <c r="S17" s="300" t="s">
        <v>43</v>
      </c>
    </row>
    <row r="18" spans="1:20" ht="28" customHeight="1" thickBot="1" x14ac:dyDescent="0.25">
      <c r="A18" s="287"/>
      <c r="B18" s="289"/>
      <c r="C18" s="289"/>
      <c r="D18" s="289"/>
      <c r="E18" s="289"/>
      <c r="F18" s="359"/>
      <c r="G18" s="297"/>
      <c r="H18" s="297"/>
      <c r="I18" s="1"/>
      <c r="L18" s="287"/>
      <c r="M18" s="289"/>
      <c r="N18" s="289"/>
      <c r="O18" s="289"/>
      <c r="P18" s="289"/>
      <c r="Q18" s="289"/>
      <c r="R18" s="303"/>
      <c r="S18" s="301"/>
    </row>
    <row r="19" spans="1:20" ht="28" customHeight="1" x14ac:dyDescent="0.2">
      <c r="A19" s="286">
        <v>0.58333333333333304</v>
      </c>
      <c r="B19" s="288" t="s">
        <v>33</v>
      </c>
      <c r="C19" s="288" t="s">
        <v>33</v>
      </c>
      <c r="D19" s="358" t="s">
        <v>2</v>
      </c>
      <c r="E19" s="288" t="s">
        <v>31</v>
      </c>
      <c r="F19" s="288" t="s">
        <v>33</v>
      </c>
      <c r="G19" s="358" t="s">
        <v>2</v>
      </c>
      <c r="H19" s="358" t="s">
        <v>2</v>
      </c>
      <c r="I19" s="1"/>
      <c r="L19" s="286">
        <v>0.58333333333333304</v>
      </c>
      <c r="M19" s="312" t="s">
        <v>2</v>
      </c>
      <c r="N19" s="312" t="s">
        <v>188</v>
      </c>
      <c r="O19" s="312" t="s">
        <v>2</v>
      </c>
      <c r="P19" s="312" t="s">
        <v>188</v>
      </c>
      <c r="Q19" s="312" t="s">
        <v>2</v>
      </c>
      <c r="R19" s="288" t="s">
        <v>12</v>
      </c>
      <c r="S19" s="288" t="s">
        <v>31</v>
      </c>
    </row>
    <row r="20" spans="1:20" ht="28" customHeight="1" thickBot="1" x14ac:dyDescent="0.25">
      <c r="A20" s="287"/>
      <c r="B20" s="289"/>
      <c r="C20" s="289"/>
      <c r="D20" s="359"/>
      <c r="E20" s="289"/>
      <c r="F20" s="289"/>
      <c r="G20" s="359"/>
      <c r="H20" s="359"/>
      <c r="I20" s="1"/>
      <c r="L20" s="287"/>
      <c r="M20" s="313"/>
      <c r="N20" s="313"/>
      <c r="O20" s="313"/>
      <c r="P20" s="313"/>
      <c r="Q20" s="313"/>
      <c r="R20" s="289"/>
      <c r="S20" s="289"/>
    </row>
    <row r="21" spans="1:20" ht="28" customHeight="1" x14ac:dyDescent="0.2">
      <c r="A21" s="286">
        <v>0.625</v>
      </c>
      <c r="B21" s="288" t="s">
        <v>12</v>
      </c>
      <c r="C21" s="288" t="s">
        <v>43</v>
      </c>
      <c r="D21" s="288" t="s">
        <v>42</v>
      </c>
      <c r="E21" s="288" t="s">
        <v>42</v>
      </c>
      <c r="F21" s="358" t="s">
        <v>188</v>
      </c>
      <c r="G21" s="296" t="s">
        <v>4</v>
      </c>
      <c r="H21" s="296" t="s">
        <v>4</v>
      </c>
      <c r="I21" s="1"/>
      <c r="L21" s="286">
        <v>0.625</v>
      </c>
      <c r="M21" s="288" t="s">
        <v>33</v>
      </c>
      <c r="N21" s="304" t="s">
        <v>31</v>
      </c>
      <c r="O21" s="288" t="s">
        <v>31</v>
      </c>
      <c r="P21" s="304" t="s">
        <v>33</v>
      </c>
      <c r="Q21" s="288" t="s">
        <v>15</v>
      </c>
      <c r="R21" s="312" t="s">
        <v>188</v>
      </c>
      <c r="S21" s="312" t="s">
        <v>188</v>
      </c>
    </row>
    <row r="22" spans="1:20" ht="28" customHeight="1" thickBot="1" x14ac:dyDescent="0.25">
      <c r="A22" s="287"/>
      <c r="B22" s="289"/>
      <c r="C22" s="289"/>
      <c r="D22" s="289"/>
      <c r="E22" s="289"/>
      <c r="F22" s="359"/>
      <c r="G22" s="297"/>
      <c r="H22" s="297"/>
      <c r="I22" s="1"/>
      <c r="L22" s="287"/>
      <c r="M22" s="289"/>
      <c r="N22" s="305"/>
      <c r="O22" s="289"/>
      <c r="P22" s="305"/>
      <c r="Q22" s="289"/>
      <c r="R22" s="313"/>
      <c r="S22" s="313"/>
    </row>
    <row r="23" spans="1:20" ht="28" customHeight="1" x14ac:dyDescent="0.2">
      <c r="A23" s="286">
        <v>0.66666666666666696</v>
      </c>
      <c r="B23" s="288" t="s">
        <v>33</v>
      </c>
      <c r="C23" s="288" t="s">
        <v>31</v>
      </c>
      <c r="D23" s="288" t="s">
        <v>31</v>
      </c>
      <c r="E23" s="288" t="s">
        <v>33</v>
      </c>
      <c r="F23" s="296" t="s">
        <v>15</v>
      </c>
      <c r="G23" s="296" t="s">
        <v>43</v>
      </c>
      <c r="H23" s="296" t="s">
        <v>42</v>
      </c>
      <c r="I23" s="1"/>
      <c r="L23" s="286">
        <v>0.66666666666666696</v>
      </c>
      <c r="M23" s="302" t="s">
        <v>43</v>
      </c>
      <c r="N23" s="302" t="s">
        <v>43</v>
      </c>
      <c r="O23" s="302" t="s">
        <v>43</v>
      </c>
      <c r="P23" s="302" t="s">
        <v>43</v>
      </c>
      <c r="Q23" s="302" t="s">
        <v>43</v>
      </c>
      <c r="R23" s="290" t="s">
        <v>43</v>
      </c>
      <c r="S23" s="290" t="s">
        <v>43</v>
      </c>
    </row>
    <row r="24" spans="1:20" ht="28" customHeight="1" thickBot="1" x14ac:dyDescent="0.25">
      <c r="A24" s="287"/>
      <c r="B24" s="289"/>
      <c r="C24" s="289"/>
      <c r="D24" s="289"/>
      <c r="E24" s="289"/>
      <c r="F24" s="297"/>
      <c r="G24" s="297"/>
      <c r="H24" s="297"/>
      <c r="I24" s="1"/>
      <c r="L24" s="287"/>
      <c r="M24" s="303"/>
      <c r="N24" s="303"/>
      <c r="O24" s="303"/>
      <c r="P24" s="303"/>
      <c r="Q24" s="303"/>
      <c r="R24" s="291"/>
      <c r="S24" s="291"/>
    </row>
    <row r="25" spans="1:20" ht="28" customHeight="1" x14ac:dyDescent="0.2">
      <c r="A25" s="286">
        <v>0.70833333333333304</v>
      </c>
      <c r="B25" s="288" t="s">
        <v>43</v>
      </c>
      <c r="C25" s="288" t="s">
        <v>43</v>
      </c>
      <c r="D25" s="288" t="s">
        <v>43</v>
      </c>
      <c r="E25" s="288" t="s">
        <v>43</v>
      </c>
      <c r="F25" s="296" t="s">
        <v>43</v>
      </c>
      <c r="G25" s="296" t="s">
        <v>12</v>
      </c>
      <c r="H25" s="296" t="s">
        <v>31</v>
      </c>
      <c r="I25" s="1"/>
      <c r="L25" s="286">
        <v>0.70833333333333304</v>
      </c>
      <c r="M25" s="288" t="s">
        <v>12</v>
      </c>
      <c r="N25" s="288" t="s">
        <v>12</v>
      </c>
      <c r="O25" s="288" t="s">
        <v>33</v>
      </c>
      <c r="P25" s="288" t="s">
        <v>33</v>
      </c>
      <c r="Q25" s="288" t="s">
        <v>33</v>
      </c>
      <c r="R25" s="288" t="s">
        <v>33</v>
      </c>
      <c r="S25" s="288" t="s">
        <v>33</v>
      </c>
    </row>
    <row r="26" spans="1:20" ht="28" customHeight="1" thickBot="1" x14ac:dyDescent="0.25">
      <c r="A26" s="287"/>
      <c r="B26" s="289"/>
      <c r="C26" s="289"/>
      <c r="D26" s="289"/>
      <c r="E26" s="289"/>
      <c r="F26" s="297"/>
      <c r="G26" s="297"/>
      <c r="H26" s="297"/>
      <c r="I26" s="1"/>
      <c r="L26" s="287"/>
      <c r="M26" s="289"/>
      <c r="N26" s="289"/>
      <c r="O26" s="289"/>
      <c r="P26" s="289"/>
      <c r="Q26" s="289"/>
      <c r="R26" s="289"/>
      <c r="S26" s="289"/>
    </row>
    <row r="27" spans="1:20" ht="28" customHeight="1" x14ac:dyDescent="0.2">
      <c r="A27" s="314" t="s">
        <v>80</v>
      </c>
      <c r="B27" s="288" t="s">
        <v>12</v>
      </c>
      <c r="C27" s="288" t="s">
        <v>12</v>
      </c>
      <c r="D27" s="288" t="s">
        <v>33</v>
      </c>
      <c r="E27" s="288" t="s">
        <v>33</v>
      </c>
      <c r="F27" s="296" t="s">
        <v>33</v>
      </c>
      <c r="G27" s="296" t="s">
        <v>33</v>
      </c>
      <c r="H27" s="296" t="s">
        <v>33</v>
      </c>
      <c r="I27" s="1"/>
      <c r="L27" s="314" t="s">
        <v>263</v>
      </c>
      <c r="M27" s="290" t="s">
        <v>43</v>
      </c>
      <c r="N27" s="312" t="s">
        <v>2</v>
      </c>
      <c r="O27" s="290" t="s">
        <v>43</v>
      </c>
      <c r="P27" s="312" t="s">
        <v>2</v>
      </c>
      <c r="Q27" s="302" t="s">
        <v>43</v>
      </c>
      <c r="R27" s="288" t="s">
        <v>12</v>
      </c>
      <c r="S27" s="288" t="s">
        <v>12</v>
      </c>
    </row>
    <row r="28" spans="1:20" ht="28" customHeight="1" thickBot="1" x14ac:dyDescent="0.25">
      <c r="A28" s="287"/>
      <c r="B28" s="289"/>
      <c r="C28" s="289"/>
      <c r="D28" s="289"/>
      <c r="E28" s="289"/>
      <c r="F28" s="297"/>
      <c r="G28" s="297"/>
      <c r="H28" s="297"/>
      <c r="I28" s="1"/>
      <c r="L28" s="287"/>
      <c r="M28" s="291"/>
      <c r="N28" s="313"/>
      <c r="O28" s="291"/>
      <c r="P28" s="313"/>
      <c r="Q28" s="303"/>
      <c r="R28" s="289"/>
      <c r="S28" s="289"/>
    </row>
    <row r="29" spans="1:20" ht="28" customHeight="1" x14ac:dyDescent="0.2">
      <c r="A29" s="286">
        <v>0.79166666666666696</v>
      </c>
      <c r="B29" s="356"/>
      <c r="C29" s="356"/>
      <c r="D29" s="356"/>
      <c r="E29" s="356"/>
      <c r="F29" s="296" t="s">
        <v>12</v>
      </c>
      <c r="G29" s="296" t="s">
        <v>15</v>
      </c>
      <c r="H29" s="356"/>
      <c r="I29" s="1"/>
      <c r="L29" s="314" t="s">
        <v>104</v>
      </c>
      <c r="M29" s="288" t="s">
        <v>33</v>
      </c>
      <c r="N29" s="288" t="s">
        <v>12</v>
      </c>
      <c r="O29" s="288" t="s">
        <v>33</v>
      </c>
      <c r="P29" s="288" t="s">
        <v>12</v>
      </c>
      <c r="Q29" s="288" t="s">
        <v>33</v>
      </c>
      <c r="R29" s="288" t="s">
        <v>33</v>
      </c>
      <c r="S29" s="288" t="s">
        <v>12</v>
      </c>
    </row>
    <row r="30" spans="1:20" ht="28" customHeight="1" thickBot="1" x14ac:dyDescent="0.25">
      <c r="A30" s="287"/>
      <c r="B30" s="357"/>
      <c r="C30" s="357"/>
      <c r="D30" s="357"/>
      <c r="E30" s="357"/>
      <c r="F30" s="297"/>
      <c r="G30" s="297"/>
      <c r="H30" s="357"/>
      <c r="I30" s="1"/>
      <c r="L30" s="287"/>
      <c r="M30" s="289"/>
      <c r="N30" s="289"/>
      <c r="O30" s="289"/>
      <c r="P30" s="289"/>
      <c r="Q30" s="289"/>
      <c r="R30" s="289"/>
      <c r="S30" s="289"/>
    </row>
    <row r="31" spans="1:20" ht="28" customHeight="1" x14ac:dyDescent="0.2">
      <c r="A31" s="286">
        <v>0.83333333333333304</v>
      </c>
      <c r="B31" s="288"/>
      <c r="C31" s="288"/>
      <c r="D31" s="288"/>
      <c r="E31" s="288"/>
      <c r="F31" s="356"/>
      <c r="G31" s="356"/>
      <c r="H31" s="356"/>
      <c r="I31" s="1"/>
      <c r="L31" s="286">
        <v>0.83333333333333304</v>
      </c>
      <c r="M31" s="288"/>
      <c r="N31" s="288"/>
      <c r="O31" s="288"/>
      <c r="P31" s="288"/>
      <c r="Q31" s="288" t="s">
        <v>15</v>
      </c>
      <c r="R31" s="288" t="s">
        <v>15</v>
      </c>
      <c r="S31" s="288"/>
      <c r="T31" s="1"/>
    </row>
    <row r="32" spans="1:20" ht="28" customHeight="1" thickBot="1" x14ac:dyDescent="0.25">
      <c r="A32" s="287"/>
      <c r="B32" s="289"/>
      <c r="C32" s="289"/>
      <c r="D32" s="289"/>
      <c r="E32" s="289"/>
      <c r="F32" s="357"/>
      <c r="G32" s="357"/>
      <c r="H32" s="357"/>
      <c r="I32" s="1"/>
      <c r="L32" s="287"/>
      <c r="M32" s="289"/>
      <c r="N32" s="289"/>
      <c r="O32" s="289"/>
      <c r="P32" s="289"/>
      <c r="Q32" s="289"/>
      <c r="R32" s="289"/>
      <c r="S32" s="289"/>
      <c r="T32" s="1"/>
    </row>
    <row r="33" spans="1:21" ht="28" customHeight="1" x14ac:dyDescent="0.2">
      <c r="A33" s="286">
        <v>0.875</v>
      </c>
      <c r="B33" s="288"/>
      <c r="C33" s="288"/>
      <c r="D33" s="288"/>
      <c r="E33" s="288"/>
      <c r="F33" s="288"/>
      <c r="G33" s="288"/>
      <c r="H33" s="288"/>
      <c r="I33" s="1"/>
      <c r="L33" s="286">
        <v>0.875</v>
      </c>
      <c r="M33" s="288"/>
      <c r="N33" s="288"/>
      <c r="O33" s="288"/>
      <c r="P33" s="288"/>
      <c r="Q33" s="288"/>
      <c r="R33" s="288"/>
      <c r="S33" s="288"/>
      <c r="T33" s="1"/>
    </row>
    <row r="34" spans="1:21" ht="28" customHeight="1" thickBot="1" x14ac:dyDescent="0.25">
      <c r="A34" s="287"/>
      <c r="B34" s="289"/>
      <c r="C34" s="289"/>
      <c r="D34" s="289"/>
      <c r="E34" s="289"/>
      <c r="F34" s="289"/>
      <c r="G34" s="289"/>
      <c r="H34" s="289"/>
      <c r="I34" s="1"/>
      <c r="L34" s="287"/>
      <c r="M34" s="289"/>
      <c r="N34" s="289"/>
      <c r="O34" s="289"/>
      <c r="P34" s="289"/>
      <c r="Q34" s="289"/>
      <c r="R34" s="289"/>
      <c r="S34" s="289"/>
      <c r="T34" s="1"/>
    </row>
    <row r="35" spans="1:21" ht="28" customHeight="1" x14ac:dyDescent="0.2">
      <c r="A35" s="286">
        <v>0.91666666666666696</v>
      </c>
      <c r="B35" s="288"/>
      <c r="C35" s="288"/>
      <c r="D35" s="288"/>
      <c r="E35" s="288"/>
      <c r="F35" s="288"/>
      <c r="G35" s="288"/>
      <c r="H35" s="288"/>
      <c r="I35" s="1"/>
      <c r="L35" s="286">
        <v>0.91666666666666696</v>
      </c>
      <c r="M35" s="288"/>
      <c r="N35" s="288"/>
      <c r="O35" s="288"/>
      <c r="P35" s="288"/>
      <c r="Q35" s="288"/>
      <c r="R35" s="288"/>
      <c r="S35" s="288"/>
      <c r="T35" s="1"/>
    </row>
    <row r="36" spans="1:21" ht="28" customHeight="1" thickBot="1" x14ac:dyDescent="0.25">
      <c r="A36" s="287"/>
      <c r="B36" s="289"/>
      <c r="C36" s="289"/>
      <c r="D36" s="289"/>
      <c r="E36" s="289"/>
      <c r="F36" s="289"/>
      <c r="G36" s="289"/>
      <c r="H36" s="289"/>
      <c r="I36" s="1"/>
      <c r="L36" s="287"/>
      <c r="M36" s="289"/>
      <c r="N36" s="289"/>
      <c r="O36" s="289"/>
      <c r="P36" s="289"/>
      <c r="Q36" s="289"/>
      <c r="R36" s="289"/>
      <c r="S36" s="289"/>
      <c r="T36" s="1"/>
    </row>
    <row r="37" spans="1:21" ht="28" customHeight="1" thickBot="1" x14ac:dyDescent="0.25">
      <c r="A37" s="286">
        <v>0.95833333333333304</v>
      </c>
      <c r="B37" s="288"/>
      <c r="C37" s="288"/>
      <c r="D37" s="288"/>
      <c r="E37" s="288"/>
      <c r="F37" s="288"/>
      <c r="G37" s="288"/>
      <c r="H37" s="288"/>
      <c r="I37" s="1"/>
      <c r="L37" s="286">
        <v>0.95833333333333304</v>
      </c>
      <c r="M37" s="288"/>
      <c r="N37" s="288"/>
      <c r="O37" s="288"/>
      <c r="P37" s="288"/>
      <c r="Q37" s="288"/>
      <c r="R37" s="288"/>
      <c r="S37" s="288"/>
      <c r="T37" s="1"/>
    </row>
    <row r="38" spans="1:21" ht="28" customHeight="1" thickBot="1" x14ac:dyDescent="0.25">
      <c r="A38" s="287"/>
      <c r="B38" s="316"/>
      <c r="C38" s="316"/>
      <c r="D38" s="316"/>
      <c r="E38" s="316"/>
      <c r="F38" s="316"/>
      <c r="G38" s="316"/>
      <c r="H38" s="317"/>
      <c r="I38" s="30" t="s">
        <v>86</v>
      </c>
      <c r="L38" s="315"/>
      <c r="M38" s="316"/>
      <c r="N38" s="316"/>
      <c r="O38" s="316"/>
      <c r="P38" s="316"/>
      <c r="Q38" s="316"/>
      <c r="R38" s="316"/>
      <c r="S38" s="317"/>
      <c r="T38" s="30" t="s">
        <v>86</v>
      </c>
    </row>
    <row r="39" spans="1:21" ht="28" customHeight="1" thickBot="1" x14ac:dyDescent="0.25">
      <c r="A39" s="29"/>
      <c r="B39" s="78"/>
      <c r="C39" s="78"/>
      <c r="D39" s="78"/>
      <c r="E39" s="78"/>
      <c r="F39" s="78"/>
      <c r="G39" s="78"/>
      <c r="H39" s="21"/>
      <c r="I39" s="30"/>
      <c r="L39" s="79" t="s">
        <v>195</v>
      </c>
      <c r="M39" s="81" t="s">
        <v>191</v>
      </c>
      <c r="N39" s="82" t="s">
        <v>191</v>
      </c>
      <c r="O39" s="82" t="s">
        <v>191</v>
      </c>
      <c r="P39" s="82" t="s">
        <v>191</v>
      </c>
      <c r="Q39" s="82" t="s">
        <v>36</v>
      </c>
      <c r="R39" s="82" t="s">
        <v>192</v>
      </c>
      <c r="S39" s="83" t="s">
        <v>193</v>
      </c>
      <c r="T39" s="155"/>
    </row>
    <row r="40" spans="1:21" ht="28" customHeight="1" thickBot="1" x14ac:dyDescent="0.25">
      <c r="A40" s="29"/>
      <c r="B40" s="78"/>
      <c r="C40" s="78"/>
      <c r="D40" s="78"/>
      <c r="E40" s="78"/>
      <c r="F40" s="78"/>
      <c r="G40" s="78"/>
      <c r="H40" s="21"/>
      <c r="I40" s="30"/>
      <c r="L40" s="79" t="s">
        <v>185</v>
      </c>
      <c r="M40" s="34">
        <f>M42+1.5</f>
        <v>13.5</v>
      </c>
      <c r="N40" s="34">
        <f t="shared" ref="N40:S40" si="0">N42+1.5</f>
        <v>13.5</v>
      </c>
      <c r="O40" s="34">
        <f t="shared" si="0"/>
        <v>13.5</v>
      </c>
      <c r="P40" s="34">
        <f t="shared" si="0"/>
        <v>13.5</v>
      </c>
      <c r="Q40" s="34">
        <f t="shared" si="0"/>
        <v>14.5</v>
      </c>
      <c r="R40" s="34">
        <f t="shared" si="0"/>
        <v>15.5</v>
      </c>
      <c r="S40" s="34">
        <f t="shared" si="0"/>
        <v>14.5</v>
      </c>
      <c r="T40" s="80">
        <f>SUM(M40:S40)</f>
        <v>98.5</v>
      </c>
    </row>
    <row r="41" spans="1:21" ht="28" customHeight="1" thickBot="1" x14ac:dyDescent="0.25">
      <c r="A41" s="29"/>
      <c r="B41" s="78"/>
      <c r="C41" s="78"/>
      <c r="D41" s="78"/>
      <c r="E41" s="78"/>
      <c r="F41" s="78"/>
      <c r="G41" s="78"/>
      <c r="H41" s="21"/>
      <c r="I41" s="30"/>
      <c r="L41" s="79" t="s">
        <v>186</v>
      </c>
      <c r="M41" s="156" t="s">
        <v>54</v>
      </c>
      <c r="N41" s="157" t="s">
        <v>54</v>
      </c>
      <c r="O41" s="157" t="s">
        <v>54</v>
      </c>
      <c r="P41" s="157" t="s">
        <v>54</v>
      </c>
      <c r="Q41" s="157" t="s">
        <v>76</v>
      </c>
      <c r="R41" s="157" t="s">
        <v>77</v>
      </c>
      <c r="S41" s="158" t="s">
        <v>194</v>
      </c>
      <c r="T41" s="155"/>
    </row>
    <row r="42" spans="1:21" ht="28" customHeight="1" thickBot="1" x14ac:dyDescent="0.25">
      <c r="A42" s="40" t="s">
        <v>78</v>
      </c>
      <c r="B42" s="9">
        <f t="shared" ref="B42:H42" si="1">COUNTIF(B3:B38,"&lt;&gt;")</f>
        <v>10</v>
      </c>
      <c r="C42" s="26">
        <f t="shared" si="1"/>
        <v>10</v>
      </c>
      <c r="D42" s="26">
        <f t="shared" si="1"/>
        <v>10</v>
      </c>
      <c r="E42" s="26">
        <f t="shared" si="1"/>
        <v>10</v>
      </c>
      <c r="F42" s="26">
        <f t="shared" si="1"/>
        <v>11</v>
      </c>
      <c r="G42" s="26">
        <f t="shared" si="1"/>
        <v>12</v>
      </c>
      <c r="H42" s="10">
        <f t="shared" si="1"/>
        <v>11</v>
      </c>
      <c r="I42" s="8">
        <f>SUM(B42:H42)</f>
        <v>74</v>
      </c>
      <c r="L42" s="40" t="s">
        <v>78</v>
      </c>
      <c r="M42" s="159">
        <f t="shared" ref="M42:S42" si="2">COUNTIF(M3:M38,"&lt;&gt;")</f>
        <v>12</v>
      </c>
      <c r="N42" s="160">
        <f t="shared" si="2"/>
        <v>12</v>
      </c>
      <c r="O42" s="160">
        <f t="shared" si="2"/>
        <v>12</v>
      </c>
      <c r="P42" s="160">
        <f t="shared" si="2"/>
        <v>12</v>
      </c>
      <c r="Q42" s="160">
        <f t="shared" si="2"/>
        <v>13</v>
      </c>
      <c r="R42" s="160">
        <f t="shared" si="2"/>
        <v>14</v>
      </c>
      <c r="S42" s="161">
        <f t="shared" si="2"/>
        <v>13</v>
      </c>
      <c r="T42" s="15">
        <f>SUM(M42:S42)</f>
        <v>88</v>
      </c>
      <c r="U42" s="170" t="s">
        <v>322</v>
      </c>
    </row>
    <row r="43" spans="1:21" ht="34" x14ac:dyDescent="0.2">
      <c r="A43" s="38" t="s">
        <v>87</v>
      </c>
      <c r="B43" s="12" cm="1">
        <f t="array" ref="B43">SUMPRODUCT(--(
    (ISNUMBER(SEARCH("Cruiser",B3:B38)) +
     ISNUMBER(SEARCH("Progressive",B3:B38)))&gt;0
))</f>
        <v>0</v>
      </c>
      <c r="C43" s="13" cm="1">
        <f t="array" ref="C43">SUMPRODUCT(--(
    (ISNUMBER(SEARCH("Cruiser",C3:C38)) +
     ISNUMBER(SEARCH("Progressive",C3:C38)))&gt;0
))</f>
        <v>1</v>
      </c>
      <c r="D43" s="13" cm="1">
        <f t="array" ref="D43">SUMPRODUCT(--(
    (ISNUMBER(SEARCH("Cruiser",D3:D38)) +
     ISNUMBER(SEARCH("Progressive",D3:D38)))&gt;0
))</f>
        <v>1</v>
      </c>
      <c r="E43" s="13" cm="1">
        <f t="array" ref="E43">SUMPRODUCT(--(
    (ISNUMBER(SEARCH("Cruiser",E3:E38)) +
     ISNUMBER(SEARCH("Progressive",E3:E38)))&gt;0
))</f>
        <v>1</v>
      </c>
      <c r="F43" s="13" cm="1">
        <f t="array" ref="F43">SUMPRODUCT(--(
    (ISNUMBER(SEARCH("Cruiser",F3:F38)) +
     ISNUMBER(SEARCH("Progressive",F3:F38)))&gt;0
))</f>
        <v>1</v>
      </c>
      <c r="G43" s="13" cm="1">
        <f t="array" ref="G43">SUMPRODUCT(--(
    (ISNUMBER(SEARCH("Cruiser",G3:G38)) +
     ISNUMBER(SEARCH("Progressive",G3:G38)))&gt;0
))</f>
        <v>2</v>
      </c>
      <c r="H43" s="39" cm="1">
        <f t="array" ref="H43">SUMPRODUCT(--(
    (ISNUMBER(SEARCH("Cruiser",H3:H38)) +
     ISNUMBER(SEARCH("Progressive",H3:H38)))&gt;0
))</f>
        <v>2</v>
      </c>
      <c r="I43" s="11">
        <f t="shared" ref="I43:I45" si="3">SUM(B43:H43)</f>
        <v>8</v>
      </c>
      <c r="J43" s="43">
        <f>I43/$I$42</f>
        <v>0.10810810810810811</v>
      </c>
      <c r="L43" s="162" t="s">
        <v>87</v>
      </c>
      <c r="M43" s="163" cm="1">
        <f t="array" ref="M43">SUMPRODUCT(--(
    (ISNUMBER(SEARCH("Malibu",M3:M38)) +
     ISNUMBER(SEARCH("Progressive",M3:M38)))&gt;0
))</f>
        <v>1</v>
      </c>
      <c r="N43" s="163" cm="1">
        <f t="array" ref="N43">SUMPRODUCT(--(
    (ISNUMBER(SEARCH("Malibu",N3:N38)) +
     ISNUMBER(SEARCH("Progressive",N3:N38)))&gt;0
))</f>
        <v>2</v>
      </c>
      <c r="O43" s="163" cm="1">
        <f t="array" ref="O43">SUMPRODUCT(--(
    (ISNUMBER(SEARCH("Malibu",O3:O38)) +
     ISNUMBER(SEARCH("Progressive",O3:O38)))&gt;0
))</f>
        <v>1</v>
      </c>
      <c r="P43" s="163" cm="1">
        <f t="array" ref="P43">SUMPRODUCT(--(
    (ISNUMBER(SEARCH("Malibu",P3:P38)) +
     ISNUMBER(SEARCH("Progressive",P3:P38)))&gt;0
))</f>
        <v>2</v>
      </c>
      <c r="Q43" s="163" cm="1">
        <f t="array" ref="Q43">SUMPRODUCT(--(
    (ISNUMBER(SEARCH("Malibu",Q3:Q38)) +
     ISNUMBER(SEARCH("Progressive",Q3:Q38)))&gt;0
))</f>
        <v>1</v>
      </c>
      <c r="R43" s="163" cm="1">
        <f t="array" ref="R43">SUMPRODUCT(--(
    (ISNUMBER(SEARCH("Malibu",R3:R38)) +
     ISNUMBER(SEARCH("Progressive",R3:R38)))&gt;0
))</f>
        <v>1</v>
      </c>
      <c r="S43" s="163" cm="1">
        <f t="array" ref="S43">SUMPRODUCT(--(
    (ISNUMBER(SEARCH("Malibu",S3:S38)) +
     ISNUMBER(SEARCH("Progressive",S3:S38)))&gt;0
))</f>
        <v>1</v>
      </c>
      <c r="T43" s="16">
        <f t="shared" ref="T43:T45" si="4">SUM(M43:S43)</f>
        <v>9</v>
      </c>
      <c r="U43" s="164">
        <f>T43/$T$42</f>
        <v>0.10227272727272728</v>
      </c>
    </row>
    <row r="44" spans="1:21" ht="28" customHeight="1" x14ac:dyDescent="0.2">
      <c r="A44" s="14" t="s">
        <v>84</v>
      </c>
      <c r="B44" s="27" cm="1">
        <f t="array" ref="B44">SUMPRODUCT(--ISNUMBER(SEARCH("Intermediate",B3:B38)))</f>
        <v>6</v>
      </c>
      <c r="C44" s="25" cm="1">
        <f t="array" ref="C44">SUMPRODUCT(--ISNUMBER(SEARCH("Intermediate",C3:C38)))</f>
        <v>5</v>
      </c>
      <c r="D44" s="25" cm="1">
        <f t="array" ref="D44">SUMPRODUCT(--ISNUMBER(SEARCH("Intermediate",D3:D38)))</f>
        <v>5</v>
      </c>
      <c r="E44" s="25" cm="1">
        <f t="array" ref="E44">SUMPRODUCT(--ISNUMBER(SEARCH("Intermediate",E3:E38)))</f>
        <v>5</v>
      </c>
      <c r="F44" s="25" cm="1">
        <f t="array" ref="F44">SUMPRODUCT(--ISNUMBER(SEARCH("Intermediate",F3:F38)))</f>
        <v>4</v>
      </c>
      <c r="G44" s="25" cm="1">
        <f t="array" ref="G44">SUMPRODUCT(--ISNUMBER(SEARCH("Intermediate",G3:G38)))</f>
        <v>5</v>
      </c>
      <c r="H44" s="35" cm="1">
        <f t="array" ref="H44">SUMPRODUCT(--ISNUMBER(SEARCH("Intermediate",H3:H38)))</f>
        <v>4</v>
      </c>
      <c r="I44" s="14">
        <f t="shared" si="3"/>
        <v>34</v>
      </c>
      <c r="J44" s="43">
        <f t="shared" ref="J44:J45" si="5">I44/$I$42</f>
        <v>0.45945945945945948</v>
      </c>
      <c r="L44" s="165" t="s">
        <v>84</v>
      </c>
      <c r="M44" s="166" cm="1">
        <f t="array" ref="M44">SUMPRODUCT(--ISNUMBER(SEARCH("Intermediate",M3:M38)))</f>
        <v>6</v>
      </c>
      <c r="N44" s="3" cm="1">
        <f t="array" ref="N44">SUMPRODUCT(--ISNUMBER(SEARCH("Intermediate",N3:N38)))</f>
        <v>6</v>
      </c>
      <c r="O44" s="3" cm="1">
        <f t="array" ref="O44">SUMPRODUCT(--ISNUMBER(SEARCH("Intermediate",O3:O38)))</f>
        <v>5</v>
      </c>
      <c r="P44" s="3" cm="1">
        <f t="array" ref="P44">SUMPRODUCT(--ISNUMBER(SEARCH("Intermediate",P3:P38)))</f>
        <v>5</v>
      </c>
      <c r="Q44" s="3" cm="1">
        <f t="array" ref="Q44">SUMPRODUCT(--ISNUMBER(SEARCH("Intermediate",Q3:Q38)))</f>
        <v>5</v>
      </c>
      <c r="R44" s="3" cm="1">
        <f t="array" ref="R44">SUMPRODUCT(--ISNUMBER(SEARCH("Intermediate",R3:R38)))</f>
        <v>7</v>
      </c>
      <c r="S44" s="17" cm="1">
        <f t="array" ref="S44">SUMPRODUCT(--ISNUMBER(SEARCH("Intermediate",S3:S38)))</f>
        <v>7</v>
      </c>
      <c r="T44" s="165">
        <f t="shared" si="4"/>
        <v>41</v>
      </c>
      <c r="U44" s="164">
        <f t="shared" ref="U44:U45" si="6">T44/$T$42</f>
        <v>0.46590909090909088</v>
      </c>
    </row>
    <row r="45" spans="1:21" ht="28" customHeight="1" thickBot="1" x14ac:dyDescent="0.25">
      <c r="A45" s="31" t="s">
        <v>85</v>
      </c>
      <c r="B45" s="37" cm="1">
        <f t="array" ref="B45">SUMPRODUCT(--(
    ISNUMBER(SEARCH("Advanced Turns",B3:B38)) +
    ISNUMBER(SEARCH("Advanced Challenger",B3:B38)) +
    ISNUMBER(SEARCH("Pro Challenger",B3:B38))
&gt;0))</f>
        <v>4</v>
      </c>
      <c r="C45" s="28" cm="1">
        <f t="array" ref="C45">SUMPRODUCT(--(
    ISNUMBER(SEARCH("Advanced Turns",C3:C38)) +
    ISNUMBER(SEARCH("Advanced Challenger",C3:C38)) +
    ISNUMBER(SEARCH("Pro Challenger",C3:C38))
&gt;0))</f>
        <v>4</v>
      </c>
      <c r="D45" s="28" cm="1">
        <f t="array" ref="D45">SUMPRODUCT(--(
    ISNUMBER(SEARCH("Advanced Turns",D3:D38)) +
    ISNUMBER(SEARCH("Advanced Challenger",D3:D38)) +
    ISNUMBER(SEARCH("Pro Challenger",D3:D38))
&gt;0))</f>
        <v>4</v>
      </c>
      <c r="E45" s="28" cm="1">
        <f t="array" ref="E45">SUMPRODUCT(--(
    ISNUMBER(SEARCH("Advanced Turns",E3:E38)) +
    ISNUMBER(SEARCH("Advanced Challenger",E3:E38)) +
    ISNUMBER(SEARCH("Pro Challenger",E3:E38))
&gt;0))</f>
        <v>4</v>
      </c>
      <c r="F45" s="28" cm="1">
        <f t="array" ref="F45">SUMPRODUCT(--(
    ISNUMBER(SEARCH("Advanced Turns",F3:F38)) +
    ISNUMBER(SEARCH("Advanced Challenger",F3:F38)) +
    ISNUMBER(SEARCH("Pro Challenger",F3:F38))
&gt;0))</f>
        <v>5</v>
      </c>
      <c r="G45" s="28" cm="1">
        <f t="array" ref="G45">SUMPRODUCT(--(
    ISNUMBER(SEARCH("Advanced Turns",G3:G38)) +
    ISNUMBER(SEARCH("Advanced Challenger",G3:G38)) +
    ISNUMBER(SEARCH("Pro Challenger",G3:G38))
&gt;0))</f>
        <v>4</v>
      </c>
      <c r="H45" s="36" cm="1">
        <f t="array" ref="H45">SUMPRODUCT(--(
    ISNUMBER(SEARCH("Advanced Turns",H3:H38)) +
    ISNUMBER(SEARCH("Advanced Challenger",H3:H38)) +
    ISNUMBER(SEARCH("Pro Challenger",H3:H38))
&gt;0))</f>
        <v>4</v>
      </c>
      <c r="I45" s="31">
        <f t="shared" si="3"/>
        <v>29</v>
      </c>
      <c r="J45" s="43">
        <f t="shared" si="5"/>
        <v>0.39189189189189189</v>
      </c>
      <c r="L45" s="167" t="s">
        <v>85</v>
      </c>
      <c r="M45" s="168" cm="1">
        <f t="array" ref="M45">SUMPRODUCT(--(
    ISNUMBER(SEARCH("Advanced Turns",M3:M38)) +
    ISNUMBER(SEARCH("Advanced Challenger",M3:M38)) +
    ISNUMBER(SEARCH("Pro Challenger",M3:M38))
&gt;0))</f>
        <v>5</v>
      </c>
      <c r="N45" s="5" cm="1">
        <f t="array" ref="N45">SUMPRODUCT(--(
    ISNUMBER(SEARCH("Advanced Turns",N3:N38)) +
    ISNUMBER(SEARCH("Advanced Challenger",N3:N38)) +
    ISNUMBER(SEARCH("Pro Challenger",N3:N38))
&gt;0))</f>
        <v>4</v>
      </c>
      <c r="O45" s="5" cm="1">
        <f t="array" ref="O45">SUMPRODUCT(--(
    ISNUMBER(SEARCH("Advanced Turns",O3:O38)) +
    ISNUMBER(SEARCH("Advanced Challenger",O3:O38)) +
    ISNUMBER(SEARCH("Pro Challenger",O3:O38))
&gt;0))</f>
        <v>6</v>
      </c>
      <c r="P45" s="5" cm="1">
        <f t="array" ref="P45">SUMPRODUCT(--(
    ISNUMBER(SEARCH("Advanced Turns",P3:P38)) +
    ISNUMBER(SEARCH("Advanced Challenger",P3:P38)) +
    ISNUMBER(SEARCH("Pro Challenger",P3:P38))
&gt;0))</f>
        <v>5</v>
      </c>
      <c r="Q45" s="5" cm="1">
        <f t="array" ref="Q45">SUMPRODUCT(--(
    ISNUMBER(SEARCH("Advanced Turns",Q3:Q38)) +
    ISNUMBER(SEARCH("Advanced Challenger",Q3:Q38)) +
    ISNUMBER(SEARCH("Pro Challenger",Q3:Q38))
&gt;0))</f>
        <v>7</v>
      </c>
      <c r="R45" s="5" cm="1">
        <f t="array" ref="R45">SUMPRODUCT(--(
    ISNUMBER(SEARCH("Advanced Turns",R3:R38)) +
    ISNUMBER(SEARCH("Advanced Challenger",R3:R38)) +
    ISNUMBER(SEARCH("Pro Challenger",R3:R38))
&gt;0))</f>
        <v>6</v>
      </c>
      <c r="S45" s="22" cm="1">
        <f t="array" ref="S45">SUMPRODUCT(--(
    ISNUMBER(SEARCH("Advanced Turns",S3:S38)) +
    ISNUMBER(SEARCH("Advanced Challenger",S3:S38)) +
    ISNUMBER(SEARCH("Pro Challenger",S3:S38))
&gt;0))</f>
        <v>5</v>
      </c>
      <c r="T45" s="167">
        <f t="shared" si="4"/>
        <v>38</v>
      </c>
      <c r="U45" s="169">
        <f t="shared" si="6"/>
        <v>0.43181818181818182</v>
      </c>
    </row>
    <row r="46" spans="1:21" ht="48" customHeight="1" x14ac:dyDescent="0.2">
      <c r="F46" t="s">
        <v>126</v>
      </c>
      <c r="L46" s="42" t="s">
        <v>106</v>
      </c>
    </row>
    <row r="47" spans="1:21" ht="81" customHeight="1" x14ac:dyDescent="0.2">
      <c r="F47" t="s">
        <v>127</v>
      </c>
      <c r="L47" s="21" t="s">
        <v>107</v>
      </c>
    </row>
    <row r="48" spans="1:21" ht="72" customHeight="1" x14ac:dyDescent="0.2">
      <c r="F48" t="s">
        <v>128</v>
      </c>
      <c r="L48" s="77" t="s">
        <v>319</v>
      </c>
    </row>
    <row r="49" spans="12:12" ht="75" customHeight="1" x14ac:dyDescent="0.2">
      <c r="L49" s="154" t="s">
        <v>320</v>
      </c>
    </row>
  </sheetData>
  <mergeCells count="290">
    <mergeCell ref="A1:H1"/>
    <mergeCell ref="A3:A4"/>
    <mergeCell ref="B3:B4"/>
    <mergeCell ref="C3:C4"/>
    <mergeCell ref="D3:D4"/>
    <mergeCell ref="E3:E4"/>
    <mergeCell ref="F3:F4"/>
    <mergeCell ref="G3:G4"/>
    <mergeCell ref="H3:H4"/>
    <mergeCell ref="A7:A8"/>
    <mergeCell ref="B7:B8"/>
    <mergeCell ref="C7:C8"/>
    <mergeCell ref="D7:D8"/>
    <mergeCell ref="E7:E8"/>
    <mergeCell ref="F7:F8"/>
    <mergeCell ref="G7:G8"/>
    <mergeCell ref="H7:H8"/>
    <mergeCell ref="A5:A6"/>
    <mergeCell ref="B5:B6"/>
    <mergeCell ref="C5:C6"/>
    <mergeCell ref="D5:D6"/>
    <mergeCell ref="E5:E6"/>
    <mergeCell ref="F5:F6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A15:A16"/>
    <mergeCell ref="B15:B16"/>
    <mergeCell ref="C15:C16"/>
    <mergeCell ref="D15:D16"/>
    <mergeCell ref="E15:E16"/>
    <mergeCell ref="F15:F16"/>
    <mergeCell ref="G15:G16"/>
    <mergeCell ref="H15:H16"/>
    <mergeCell ref="A13:A14"/>
    <mergeCell ref="B13:B14"/>
    <mergeCell ref="C13:C14"/>
    <mergeCell ref="D13:D14"/>
    <mergeCell ref="E13:E14"/>
    <mergeCell ref="F13:F14"/>
    <mergeCell ref="A19:A20"/>
    <mergeCell ref="B19:B20"/>
    <mergeCell ref="C19:C20"/>
    <mergeCell ref="D19:D20"/>
    <mergeCell ref="E19:E20"/>
    <mergeCell ref="F19:F20"/>
    <mergeCell ref="G19:G20"/>
    <mergeCell ref="H19:H20"/>
    <mergeCell ref="A17:A18"/>
    <mergeCell ref="B17:B18"/>
    <mergeCell ref="C17:C18"/>
    <mergeCell ref="D17:D18"/>
    <mergeCell ref="E17:E18"/>
    <mergeCell ref="F17:F18"/>
    <mergeCell ref="A23:A24"/>
    <mergeCell ref="B23:B24"/>
    <mergeCell ref="C23:C24"/>
    <mergeCell ref="D23:D24"/>
    <mergeCell ref="E23:E24"/>
    <mergeCell ref="F23:F24"/>
    <mergeCell ref="G23:G24"/>
    <mergeCell ref="H23:H24"/>
    <mergeCell ref="A21:A22"/>
    <mergeCell ref="B21:B22"/>
    <mergeCell ref="C21:C22"/>
    <mergeCell ref="D21:D22"/>
    <mergeCell ref="E21:E22"/>
    <mergeCell ref="F21:F22"/>
    <mergeCell ref="A27:A28"/>
    <mergeCell ref="B27:B28"/>
    <mergeCell ref="C27:C28"/>
    <mergeCell ref="D27:D28"/>
    <mergeCell ref="E27:E28"/>
    <mergeCell ref="F27:F28"/>
    <mergeCell ref="G27:G28"/>
    <mergeCell ref="H27:H28"/>
    <mergeCell ref="A25:A26"/>
    <mergeCell ref="B25:B26"/>
    <mergeCell ref="C25:C26"/>
    <mergeCell ref="D25:D26"/>
    <mergeCell ref="E25:E26"/>
    <mergeCell ref="F25:F26"/>
    <mergeCell ref="A31:A32"/>
    <mergeCell ref="B31:B32"/>
    <mergeCell ref="C31:C32"/>
    <mergeCell ref="D31:D32"/>
    <mergeCell ref="E31:E32"/>
    <mergeCell ref="F31:F32"/>
    <mergeCell ref="G31:G32"/>
    <mergeCell ref="H31:H32"/>
    <mergeCell ref="A29:A30"/>
    <mergeCell ref="B29:B30"/>
    <mergeCell ref="C29:C30"/>
    <mergeCell ref="D29:D30"/>
    <mergeCell ref="E29:E30"/>
    <mergeCell ref="F29:F30"/>
    <mergeCell ref="A37:A38"/>
    <mergeCell ref="B37:B38"/>
    <mergeCell ref="C37:C38"/>
    <mergeCell ref="D37:D38"/>
    <mergeCell ref="E37:E38"/>
    <mergeCell ref="F37:F38"/>
    <mergeCell ref="G33:G34"/>
    <mergeCell ref="H33:H34"/>
    <mergeCell ref="A35:A36"/>
    <mergeCell ref="B35:B36"/>
    <mergeCell ref="C35:C36"/>
    <mergeCell ref="D35:D36"/>
    <mergeCell ref="E35:E36"/>
    <mergeCell ref="F35:F36"/>
    <mergeCell ref="G35:G36"/>
    <mergeCell ref="H35:H36"/>
    <mergeCell ref="A33:A34"/>
    <mergeCell ref="B33:B34"/>
    <mergeCell ref="C33:C34"/>
    <mergeCell ref="D33:D34"/>
    <mergeCell ref="E33:E34"/>
    <mergeCell ref="F33:F34"/>
    <mergeCell ref="G37:G38"/>
    <mergeCell ref="H37:H38"/>
    <mergeCell ref="L1:S1"/>
    <mergeCell ref="L3:L4"/>
    <mergeCell ref="M3:M4"/>
    <mergeCell ref="N3:N4"/>
    <mergeCell ref="O3:O4"/>
    <mergeCell ref="P3:P4"/>
    <mergeCell ref="Q3:Q4"/>
    <mergeCell ref="R3:R4"/>
    <mergeCell ref="G29:G30"/>
    <mergeCell ref="H29:H30"/>
    <mergeCell ref="G25:G26"/>
    <mergeCell ref="H25:H26"/>
    <mergeCell ref="G21:G22"/>
    <mergeCell ref="H21:H22"/>
    <mergeCell ref="G17:G18"/>
    <mergeCell ref="H17:H18"/>
    <mergeCell ref="G13:G14"/>
    <mergeCell ref="H13:H14"/>
    <mergeCell ref="G9:G10"/>
    <mergeCell ref="H9:H10"/>
    <mergeCell ref="G5:G6"/>
    <mergeCell ref="H5:H6"/>
    <mergeCell ref="S3:S4"/>
    <mergeCell ref="L5:L6"/>
    <mergeCell ref="M5:M6"/>
    <mergeCell ref="N5:N6"/>
    <mergeCell ref="O5:O6"/>
    <mergeCell ref="P5:P6"/>
    <mergeCell ref="Q5:Q6"/>
    <mergeCell ref="R5:R6"/>
    <mergeCell ref="S5:S6"/>
    <mergeCell ref="R9:R10"/>
    <mergeCell ref="S9:S10"/>
    <mergeCell ref="L9:L10"/>
    <mergeCell ref="M9:M10"/>
    <mergeCell ref="N9:N10"/>
    <mergeCell ref="O9:O10"/>
    <mergeCell ref="P9:P10"/>
    <mergeCell ref="Q9:Q10"/>
    <mergeCell ref="R7:R8"/>
    <mergeCell ref="S7:S8"/>
    <mergeCell ref="L7:L8"/>
    <mergeCell ref="M7:M8"/>
    <mergeCell ref="N7:N8"/>
    <mergeCell ref="O7:O8"/>
    <mergeCell ref="P7:P8"/>
    <mergeCell ref="Q7:Q8"/>
    <mergeCell ref="R13:R14"/>
    <mergeCell ref="S13:S14"/>
    <mergeCell ref="L13:L14"/>
    <mergeCell ref="M13:M14"/>
    <mergeCell ref="N13:N14"/>
    <mergeCell ref="O13:O14"/>
    <mergeCell ref="P13:P14"/>
    <mergeCell ref="Q13:Q14"/>
    <mergeCell ref="R11:R12"/>
    <mergeCell ref="S11:S12"/>
    <mergeCell ref="L11:L12"/>
    <mergeCell ref="M11:M12"/>
    <mergeCell ref="N11:N12"/>
    <mergeCell ref="O11:O12"/>
    <mergeCell ref="P11:P12"/>
    <mergeCell ref="Q11:Q12"/>
    <mergeCell ref="S17:S18"/>
    <mergeCell ref="R17:R18"/>
    <mergeCell ref="L17:L18"/>
    <mergeCell ref="M17:M18"/>
    <mergeCell ref="N17:N18"/>
    <mergeCell ref="O17:O18"/>
    <mergeCell ref="P17:P18"/>
    <mergeCell ref="Q17:Q18"/>
    <mergeCell ref="R15:R16"/>
    <mergeCell ref="S15:S16"/>
    <mergeCell ref="L15:L16"/>
    <mergeCell ref="M15:M16"/>
    <mergeCell ref="N15:N16"/>
    <mergeCell ref="O15:O16"/>
    <mergeCell ref="P15:P16"/>
    <mergeCell ref="Q15:Q16"/>
    <mergeCell ref="R21:R22"/>
    <mergeCell ref="S21:S22"/>
    <mergeCell ref="L21:L22"/>
    <mergeCell ref="M21:M22"/>
    <mergeCell ref="N21:N22"/>
    <mergeCell ref="O21:O22"/>
    <mergeCell ref="P21:P22"/>
    <mergeCell ref="Q21:Q22"/>
    <mergeCell ref="R19:R20"/>
    <mergeCell ref="S19:S20"/>
    <mergeCell ref="L19:L20"/>
    <mergeCell ref="M19:M20"/>
    <mergeCell ref="N19:N20"/>
    <mergeCell ref="O19:O20"/>
    <mergeCell ref="P19:P20"/>
    <mergeCell ref="Q19:Q20"/>
    <mergeCell ref="R23:R24"/>
    <mergeCell ref="S23:S24"/>
    <mergeCell ref="L25:L26"/>
    <mergeCell ref="M25:M26"/>
    <mergeCell ref="N25:N26"/>
    <mergeCell ref="O25:O26"/>
    <mergeCell ref="P25:P26"/>
    <mergeCell ref="Q25:Q26"/>
    <mergeCell ref="R25:R26"/>
    <mergeCell ref="S25:S26"/>
    <mergeCell ref="L23:L24"/>
    <mergeCell ref="M23:M24"/>
    <mergeCell ref="N23:N24"/>
    <mergeCell ref="O23:O24"/>
    <mergeCell ref="P23:P24"/>
    <mergeCell ref="Q23:Q24"/>
    <mergeCell ref="R27:R28"/>
    <mergeCell ref="S27:S28"/>
    <mergeCell ref="L29:L30"/>
    <mergeCell ref="M29:M30"/>
    <mergeCell ref="N29:N30"/>
    <mergeCell ref="O29:O30"/>
    <mergeCell ref="P29:P30"/>
    <mergeCell ref="Q31:Q32"/>
    <mergeCell ref="R31:R32"/>
    <mergeCell ref="S29:S30"/>
    <mergeCell ref="L27:L28"/>
    <mergeCell ref="M27:M28"/>
    <mergeCell ref="N27:N28"/>
    <mergeCell ref="O27:O28"/>
    <mergeCell ref="P27:P28"/>
    <mergeCell ref="Q27:Q28"/>
    <mergeCell ref="Q29:Q30"/>
    <mergeCell ref="R29:R30"/>
    <mergeCell ref="O33:O34"/>
    <mergeCell ref="P33:P34"/>
    <mergeCell ref="Q33:Q34"/>
    <mergeCell ref="R33:R34"/>
    <mergeCell ref="S33:S34"/>
    <mergeCell ref="L31:L32"/>
    <mergeCell ref="M31:M32"/>
    <mergeCell ref="N31:N32"/>
    <mergeCell ref="O31:O32"/>
    <mergeCell ref="P31:P32"/>
    <mergeCell ref="S31:S32"/>
    <mergeCell ref="L33:L34"/>
    <mergeCell ref="M33:M34"/>
    <mergeCell ref="N33:N34"/>
    <mergeCell ref="R35:R36"/>
    <mergeCell ref="S35:S36"/>
    <mergeCell ref="L37:L38"/>
    <mergeCell ref="M37:M38"/>
    <mergeCell ref="N37:N38"/>
    <mergeCell ref="O37:O38"/>
    <mergeCell ref="P37:P38"/>
    <mergeCell ref="Q37:Q38"/>
    <mergeCell ref="R37:R38"/>
    <mergeCell ref="S37:S38"/>
    <mergeCell ref="L35:L36"/>
    <mergeCell ref="M35:M36"/>
    <mergeCell ref="N35:N36"/>
    <mergeCell ref="O35:O36"/>
    <mergeCell ref="P35:P36"/>
    <mergeCell ref="Q35:Q36"/>
  </mergeCells>
  <dataValidations count="1">
    <dataValidation type="list" allowBlank="1" showInputMessage="1" showErrorMessage="1" sqref="B3:H41 R21:S22 M3:S18 R19:S20 M23:S38 M19:Q22" xr:uid="{AE2873C1-C34A-6840-AAD3-31A208B360DE}">
      <formula1>#REF!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56DF-4E10-2C4B-9463-1DA204F333BA}">
  <dimension ref="A1:J45"/>
  <sheetViews>
    <sheetView topLeftCell="A2" workbookViewId="0">
      <selection activeCell="M1" sqref="J1:M1048576"/>
    </sheetView>
  </sheetViews>
  <sheetFormatPr baseColWidth="10" defaultColWidth="21.83203125" defaultRowHeight="16" x14ac:dyDescent="0.2"/>
  <cols>
    <col min="1" max="1" width="21.83203125" style="53"/>
    <col min="2" max="9" width="21.83203125" style="61"/>
    <col min="10" max="16384" width="21.83203125" style="46"/>
  </cols>
  <sheetData>
    <row r="1" spans="1:10" s="73" customFormat="1" ht="14" customHeight="1" thickBot="1" x14ac:dyDescent="0.25">
      <c r="A1" s="71"/>
      <c r="B1" s="72" t="s">
        <v>170</v>
      </c>
      <c r="C1" s="72" t="s">
        <v>170</v>
      </c>
      <c r="D1" s="72" t="s">
        <v>170</v>
      </c>
      <c r="E1" s="72" t="s">
        <v>170</v>
      </c>
      <c r="F1" s="72" t="s">
        <v>170</v>
      </c>
      <c r="G1" s="72" t="s">
        <v>170</v>
      </c>
      <c r="H1" s="72" t="s">
        <v>170</v>
      </c>
      <c r="I1" s="72" t="s">
        <v>170</v>
      </c>
    </row>
    <row r="2" spans="1:10" ht="19" thickBot="1" x14ac:dyDescent="0.25">
      <c r="A2" s="48"/>
      <c r="B2" s="54" t="s">
        <v>159</v>
      </c>
      <c r="C2" s="54" t="s">
        <v>160</v>
      </c>
      <c r="D2" s="54" t="s">
        <v>161</v>
      </c>
      <c r="E2" s="54" t="s">
        <v>162</v>
      </c>
      <c r="F2" s="55" t="s">
        <v>163</v>
      </c>
      <c r="G2" s="55" t="s">
        <v>164</v>
      </c>
      <c r="H2" s="55" t="s">
        <v>165</v>
      </c>
      <c r="I2" s="56" t="s">
        <v>166</v>
      </c>
      <c r="J2" s="47"/>
    </row>
    <row r="3" spans="1:10" ht="18" x14ac:dyDescent="0.2">
      <c r="A3" s="49">
        <v>7</v>
      </c>
      <c r="B3" s="57" t="s">
        <v>129</v>
      </c>
      <c r="C3" s="57" t="s">
        <v>129</v>
      </c>
      <c r="D3" s="57" t="s">
        <v>129</v>
      </c>
      <c r="E3" s="57" t="s">
        <v>129</v>
      </c>
      <c r="F3" s="58"/>
      <c r="G3" s="58"/>
      <c r="H3" s="58"/>
      <c r="I3" s="58"/>
    </row>
    <row r="4" spans="1:10" ht="18" x14ac:dyDescent="0.2">
      <c r="A4" s="50">
        <v>730</v>
      </c>
      <c r="B4" s="63" t="s">
        <v>130</v>
      </c>
      <c r="C4" s="63" t="s">
        <v>130</v>
      </c>
      <c r="D4" s="59" t="s">
        <v>180</v>
      </c>
      <c r="E4" s="59" t="s">
        <v>132</v>
      </c>
      <c r="F4" s="60"/>
      <c r="G4" s="60"/>
      <c r="H4" s="60"/>
      <c r="I4" s="60"/>
    </row>
    <row r="5" spans="1:10" ht="18" x14ac:dyDescent="0.2">
      <c r="A5" s="50">
        <v>8</v>
      </c>
      <c r="B5" s="63" t="s">
        <v>146</v>
      </c>
      <c r="C5" s="63" t="s">
        <v>146</v>
      </c>
      <c r="D5" s="59" t="s">
        <v>132</v>
      </c>
      <c r="E5" s="59" t="s">
        <v>132</v>
      </c>
      <c r="F5" s="60"/>
      <c r="G5" s="60"/>
      <c r="H5" s="60"/>
      <c r="I5" s="60"/>
    </row>
    <row r="6" spans="1:10" ht="36" x14ac:dyDescent="0.2">
      <c r="A6" s="50">
        <v>830</v>
      </c>
      <c r="B6" s="63" t="s">
        <v>146</v>
      </c>
      <c r="C6" s="63" t="s">
        <v>146</v>
      </c>
      <c r="D6" s="65" t="s">
        <v>150</v>
      </c>
      <c r="E6" s="65" t="s">
        <v>150</v>
      </c>
      <c r="F6" s="60"/>
      <c r="G6" s="60"/>
      <c r="H6" s="60"/>
      <c r="I6" s="60"/>
    </row>
    <row r="7" spans="1:10" ht="36" x14ac:dyDescent="0.2">
      <c r="A7" s="50">
        <v>9</v>
      </c>
      <c r="B7" s="65" t="s">
        <v>149</v>
      </c>
      <c r="C7" s="65" t="s">
        <v>145</v>
      </c>
      <c r="D7" s="59" t="s">
        <v>151</v>
      </c>
      <c r="E7" s="59" t="s">
        <v>152</v>
      </c>
      <c r="F7" s="60"/>
      <c r="G7" s="60"/>
      <c r="H7" s="60"/>
      <c r="I7" s="60"/>
    </row>
    <row r="8" spans="1:10" ht="36" x14ac:dyDescent="0.2">
      <c r="A8" s="50">
        <v>930</v>
      </c>
      <c r="B8" s="65" t="s">
        <v>154</v>
      </c>
      <c r="C8" s="59" t="s">
        <v>132</v>
      </c>
      <c r="D8" s="63" t="s">
        <v>174</v>
      </c>
      <c r="E8" s="63" t="s">
        <v>130</v>
      </c>
      <c r="F8" s="60"/>
      <c r="G8" s="60"/>
      <c r="H8" s="60"/>
      <c r="I8" s="60"/>
    </row>
    <row r="9" spans="1:10" ht="18" x14ac:dyDescent="0.2">
      <c r="A9" s="50">
        <v>10</v>
      </c>
      <c r="B9" s="59" t="s">
        <v>132</v>
      </c>
      <c r="C9" s="59" t="s">
        <v>132</v>
      </c>
      <c r="D9" s="63" t="s">
        <v>146</v>
      </c>
      <c r="E9" s="63" t="s">
        <v>146</v>
      </c>
      <c r="F9" s="60"/>
      <c r="G9" s="60"/>
      <c r="H9" s="60"/>
      <c r="I9" s="60"/>
    </row>
    <row r="10" spans="1:10" ht="18" x14ac:dyDescent="0.2">
      <c r="A10" s="50">
        <v>1030</v>
      </c>
      <c r="B10" s="62" t="s">
        <v>168</v>
      </c>
      <c r="C10" s="59" t="s">
        <v>132</v>
      </c>
      <c r="D10" s="63" t="s">
        <v>146</v>
      </c>
      <c r="E10" s="63" t="s">
        <v>146</v>
      </c>
      <c r="F10" s="60"/>
      <c r="G10" s="60"/>
      <c r="H10" s="60"/>
      <c r="I10" s="60"/>
    </row>
    <row r="11" spans="1:10" ht="18" x14ac:dyDescent="0.2">
      <c r="A11" s="50">
        <v>11</v>
      </c>
      <c r="B11" s="59" t="s">
        <v>132</v>
      </c>
      <c r="C11" s="62" t="s">
        <v>169</v>
      </c>
      <c r="D11" s="67" t="s">
        <v>135</v>
      </c>
      <c r="E11" s="67" t="s">
        <v>135</v>
      </c>
      <c r="F11" s="60"/>
      <c r="G11" s="60"/>
      <c r="H11" s="60"/>
      <c r="I11" s="60"/>
    </row>
    <row r="12" spans="1:10" ht="36" x14ac:dyDescent="0.2">
      <c r="A12" s="50">
        <v>1130</v>
      </c>
      <c r="B12" s="59" t="s">
        <v>158</v>
      </c>
      <c r="C12" s="59" t="s">
        <v>158</v>
      </c>
      <c r="D12" s="62" t="s">
        <v>157</v>
      </c>
      <c r="E12" s="62" t="s">
        <v>157</v>
      </c>
      <c r="F12" s="60"/>
      <c r="G12" s="60"/>
      <c r="H12" s="60"/>
      <c r="I12" s="60"/>
    </row>
    <row r="13" spans="1:10" ht="41" customHeight="1" x14ac:dyDescent="0.2">
      <c r="A13" s="50" t="s">
        <v>136</v>
      </c>
      <c r="B13" s="64" t="s">
        <v>137</v>
      </c>
      <c r="C13" s="64" t="s">
        <v>137</v>
      </c>
      <c r="D13" s="59" t="s">
        <v>132</v>
      </c>
      <c r="E13" s="59" t="s">
        <v>132</v>
      </c>
      <c r="F13" s="59" t="s">
        <v>129</v>
      </c>
      <c r="G13" s="59" t="s">
        <v>129</v>
      </c>
      <c r="H13" s="59" t="s">
        <v>129</v>
      </c>
      <c r="I13" s="59" t="s">
        <v>129</v>
      </c>
    </row>
    <row r="14" spans="1:10" ht="36" x14ac:dyDescent="0.2">
      <c r="A14" s="50">
        <v>1230</v>
      </c>
      <c r="B14" s="64" t="s">
        <v>138</v>
      </c>
      <c r="C14" s="64" t="s">
        <v>138</v>
      </c>
      <c r="D14" s="65" t="s">
        <v>150</v>
      </c>
      <c r="E14" s="65" t="s">
        <v>150</v>
      </c>
      <c r="F14" s="63" t="s">
        <v>130</v>
      </c>
      <c r="G14" s="63" t="s">
        <v>130</v>
      </c>
      <c r="H14" s="66" t="s">
        <v>167</v>
      </c>
      <c r="I14" s="66" t="s">
        <v>167</v>
      </c>
    </row>
    <row r="15" spans="1:10" ht="36" x14ac:dyDescent="0.2">
      <c r="A15" s="50">
        <v>1</v>
      </c>
      <c r="B15" s="65" t="s">
        <v>153</v>
      </c>
      <c r="C15" s="65" t="s">
        <v>147</v>
      </c>
      <c r="D15" s="59" t="s">
        <v>151</v>
      </c>
      <c r="E15" s="59" t="s">
        <v>152</v>
      </c>
      <c r="F15" s="63" t="s">
        <v>148</v>
      </c>
      <c r="G15" s="63" t="s">
        <v>148</v>
      </c>
      <c r="H15" s="66" t="s">
        <v>167</v>
      </c>
      <c r="I15" s="66" t="s">
        <v>167</v>
      </c>
    </row>
    <row r="16" spans="1:10" ht="36" x14ac:dyDescent="0.2">
      <c r="A16" s="50">
        <v>130</v>
      </c>
      <c r="B16" s="65" t="s">
        <v>154</v>
      </c>
      <c r="C16" s="59" t="s">
        <v>132</v>
      </c>
      <c r="D16" s="63" t="s">
        <v>130</v>
      </c>
      <c r="E16" s="63" t="s">
        <v>130</v>
      </c>
      <c r="F16" s="63" t="s">
        <v>148</v>
      </c>
      <c r="G16" s="63" t="s">
        <v>148</v>
      </c>
      <c r="H16" s="66" t="s">
        <v>167</v>
      </c>
      <c r="I16" s="66" t="s">
        <v>167</v>
      </c>
    </row>
    <row r="17" spans="1:9" ht="36" x14ac:dyDescent="0.2">
      <c r="A17" s="50">
        <v>2</v>
      </c>
      <c r="B17" s="59" t="s">
        <v>132</v>
      </c>
      <c r="C17" s="59" t="s">
        <v>132</v>
      </c>
      <c r="D17" s="63" t="s">
        <v>148</v>
      </c>
      <c r="E17" s="63" t="s">
        <v>148</v>
      </c>
      <c r="F17" s="65" t="s">
        <v>149</v>
      </c>
      <c r="G17" s="65" t="s">
        <v>145</v>
      </c>
      <c r="H17" s="65" t="s">
        <v>156</v>
      </c>
      <c r="I17" s="65" t="s">
        <v>156</v>
      </c>
    </row>
    <row r="18" spans="1:9" ht="36" x14ac:dyDescent="0.2">
      <c r="A18" s="50">
        <v>230</v>
      </c>
      <c r="B18" s="59" t="s">
        <v>132</v>
      </c>
      <c r="C18" s="59" t="s">
        <v>132</v>
      </c>
      <c r="D18" s="63" t="s">
        <v>148</v>
      </c>
      <c r="E18" s="63" t="s">
        <v>148</v>
      </c>
      <c r="F18" s="65" t="s">
        <v>155</v>
      </c>
      <c r="G18" s="66" t="s">
        <v>167</v>
      </c>
      <c r="H18" s="63" t="s">
        <v>139</v>
      </c>
      <c r="I18" s="63" t="s">
        <v>130</v>
      </c>
    </row>
    <row r="19" spans="1:9" ht="36" x14ac:dyDescent="0.2">
      <c r="A19" s="50">
        <v>3</v>
      </c>
      <c r="B19" s="59" t="s">
        <v>132</v>
      </c>
      <c r="C19" s="59" t="s">
        <v>132</v>
      </c>
      <c r="D19" s="59" t="s">
        <v>140</v>
      </c>
      <c r="E19" s="59" t="s">
        <v>141</v>
      </c>
      <c r="F19" s="66" t="s">
        <v>167</v>
      </c>
      <c r="G19" s="66" t="s">
        <v>167</v>
      </c>
      <c r="H19" s="63" t="s">
        <v>142</v>
      </c>
      <c r="I19" s="63" t="s">
        <v>133</v>
      </c>
    </row>
    <row r="20" spans="1:9" ht="18" x14ac:dyDescent="0.2">
      <c r="A20" s="51">
        <v>0.14583333333333334</v>
      </c>
      <c r="B20" s="59" t="s">
        <v>143</v>
      </c>
      <c r="C20" s="59" t="s">
        <v>143</v>
      </c>
      <c r="D20" s="59" t="s">
        <v>144</v>
      </c>
      <c r="E20" s="59" t="s">
        <v>144</v>
      </c>
      <c r="F20" s="62" t="s">
        <v>134</v>
      </c>
      <c r="G20" s="59" t="s">
        <v>132</v>
      </c>
      <c r="H20" s="63" t="s">
        <v>146</v>
      </c>
      <c r="I20" s="63" t="s">
        <v>146</v>
      </c>
    </row>
    <row r="21" spans="1:9" ht="18" x14ac:dyDescent="0.2">
      <c r="A21" s="50">
        <v>4</v>
      </c>
      <c r="B21" s="60"/>
      <c r="C21" s="60"/>
      <c r="D21" s="60"/>
      <c r="E21" s="60"/>
      <c r="F21" s="59" t="s">
        <v>132</v>
      </c>
      <c r="G21" s="62" t="s">
        <v>134</v>
      </c>
      <c r="H21" s="67" t="s">
        <v>135</v>
      </c>
      <c r="I21" s="67" t="s">
        <v>135</v>
      </c>
    </row>
    <row r="22" spans="1:9" ht="36" x14ac:dyDescent="0.2">
      <c r="A22" s="51">
        <v>0.1875</v>
      </c>
      <c r="B22" s="60"/>
      <c r="C22" s="60"/>
      <c r="D22" s="60"/>
      <c r="E22" s="60"/>
      <c r="F22" s="59" t="s">
        <v>158</v>
      </c>
      <c r="G22" s="59" t="s">
        <v>158</v>
      </c>
      <c r="H22" s="62" t="s">
        <v>157</v>
      </c>
      <c r="I22" s="62" t="s">
        <v>157</v>
      </c>
    </row>
    <row r="23" spans="1:9" ht="36" x14ac:dyDescent="0.2">
      <c r="A23" s="50">
        <v>5</v>
      </c>
      <c r="B23" s="60"/>
      <c r="C23" s="60"/>
      <c r="D23" s="60"/>
      <c r="E23" s="60"/>
      <c r="F23" s="64" t="s">
        <v>137</v>
      </c>
      <c r="G23" s="64" t="s">
        <v>137</v>
      </c>
      <c r="H23" s="59" t="s">
        <v>132</v>
      </c>
      <c r="I23" s="59" t="s">
        <v>132</v>
      </c>
    </row>
    <row r="24" spans="1:9" ht="36" x14ac:dyDescent="0.2">
      <c r="A24" s="50">
        <v>530</v>
      </c>
      <c r="B24" s="60"/>
      <c r="C24" s="60"/>
      <c r="D24" s="60"/>
      <c r="E24" s="60"/>
      <c r="F24" s="64" t="s">
        <v>138</v>
      </c>
      <c r="G24" s="64" t="s">
        <v>138</v>
      </c>
      <c r="H24" s="65" t="s">
        <v>150</v>
      </c>
      <c r="I24" s="65" t="s">
        <v>150</v>
      </c>
    </row>
    <row r="25" spans="1:9" ht="36" x14ac:dyDescent="0.2">
      <c r="A25" s="50">
        <v>6</v>
      </c>
      <c r="B25" s="60"/>
      <c r="C25" s="60"/>
      <c r="D25" s="60"/>
      <c r="E25" s="60"/>
      <c r="F25" s="65" t="s">
        <v>153</v>
      </c>
      <c r="G25" s="65" t="s">
        <v>147</v>
      </c>
      <c r="H25" s="59" t="s">
        <v>151</v>
      </c>
      <c r="I25" s="59" t="s">
        <v>152</v>
      </c>
    </row>
    <row r="26" spans="1:9" ht="36" x14ac:dyDescent="0.2">
      <c r="A26" s="50">
        <v>630</v>
      </c>
      <c r="B26" s="60"/>
      <c r="C26" s="60"/>
      <c r="D26" s="60"/>
      <c r="E26" s="60"/>
      <c r="F26" s="65" t="s">
        <v>154</v>
      </c>
      <c r="G26" s="59" t="s">
        <v>132</v>
      </c>
      <c r="H26" s="63" t="s">
        <v>130</v>
      </c>
      <c r="I26" s="63" t="s">
        <v>130</v>
      </c>
    </row>
    <row r="27" spans="1:9" ht="18" x14ac:dyDescent="0.2">
      <c r="A27" s="50">
        <v>7</v>
      </c>
      <c r="B27" s="60"/>
      <c r="C27" s="60"/>
      <c r="D27" s="60"/>
      <c r="E27" s="60"/>
      <c r="F27" s="59" t="s">
        <v>132</v>
      </c>
      <c r="G27" s="59" t="s">
        <v>132</v>
      </c>
      <c r="H27" s="63" t="s">
        <v>148</v>
      </c>
      <c r="I27" s="63" t="s">
        <v>148</v>
      </c>
    </row>
    <row r="28" spans="1:9" ht="18" x14ac:dyDescent="0.2">
      <c r="A28" s="50">
        <v>730</v>
      </c>
      <c r="B28" s="60"/>
      <c r="C28" s="60"/>
      <c r="D28" s="60"/>
      <c r="E28" s="60"/>
      <c r="F28" s="59" t="s">
        <v>132</v>
      </c>
      <c r="G28" s="59" t="s">
        <v>132</v>
      </c>
      <c r="H28" s="63" t="s">
        <v>148</v>
      </c>
      <c r="I28" s="63" t="s">
        <v>148</v>
      </c>
    </row>
    <row r="29" spans="1:9" ht="18" x14ac:dyDescent="0.2">
      <c r="A29" s="50">
        <v>8</v>
      </c>
      <c r="B29" s="60"/>
      <c r="C29" s="60"/>
      <c r="D29" s="60"/>
      <c r="E29" s="60"/>
      <c r="F29" s="59" t="s">
        <v>132</v>
      </c>
      <c r="G29" s="59" t="s">
        <v>132</v>
      </c>
      <c r="H29" s="59" t="s">
        <v>140</v>
      </c>
      <c r="I29" s="59" t="s">
        <v>141</v>
      </c>
    </row>
    <row r="30" spans="1:9" ht="18" x14ac:dyDescent="0.2">
      <c r="A30" s="50">
        <v>830</v>
      </c>
      <c r="B30" s="60"/>
      <c r="C30" s="60"/>
      <c r="D30" s="60"/>
      <c r="E30" s="60"/>
      <c r="F30" s="59" t="s">
        <v>143</v>
      </c>
      <c r="G30" s="59" t="s">
        <v>143</v>
      </c>
      <c r="H30" s="59" t="s">
        <v>144</v>
      </c>
      <c r="I30" s="59" t="s">
        <v>144</v>
      </c>
    </row>
    <row r="31" spans="1:9" ht="17" x14ac:dyDescent="0.2">
      <c r="A31" s="50">
        <v>9</v>
      </c>
      <c r="B31" s="60"/>
      <c r="C31" s="60"/>
      <c r="D31" s="60"/>
      <c r="E31" s="60"/>
      <c r="F31" s="60"/>
      <c r="G31" s="60"/>
      <c r="H31" s="60"/>
      <c r="I31" s="60"/>
    </row>
    <row r="32" spans="1:9" x14ac:dyDescent="0.2">
      <c r="A32" s="52">
        <v>930</v>
      </c>
      <c r="B32" s="60"/>
      <c r="C32" s="60"/>
      <c r="D32" s="60"/>
      <c r="E32" s="60"/>
      <c r="F32" s="60"/>
      <c r="G32" s="60"/>
      <c r="H32" s="60"/>
      <c r="I32" s="60"/>
    </row>
    <row r="33" spans="1:9" x14ac:dyDescent="0.2">
      <c r="A33" s="52">
        <v>10</v>
      </c>
      <c r="B33" s="60"/>
      <c r="C33" s="60"/>
      <c r="D33" s="60"/>
      <c r="E33" s="60"/>
      <c r="F33" s="60"/>
      <c r="G33" s="60"/>
      <c r="H33" s="60"/>
      <c r="I33" s="60"/>
    </row>
    <row r="34" spans="1:9" x14ac:dyDescent="0.2">
      <c r="A34" s="52">
        <v>1030</v>
      </c>
      <c r="B34" s="60"/>
      <c r="C34" s="60"/>
      <c r="D34" s="60"/>
      <c r="E34" s="60"/>
      <c r="F34" s="60"/>
      <c r="G34" s="60"/>
      <c r="H34" s="60"/>
      <c r="I34" s="60"/>
    </row>
    <row r="35" spans="1:9" x14ac:dyDescent="0.2">
      <c r="A35" s="52">
        <v>11</v>
      </c>
      <c r="B35" s="60"/>
      <c r="C35" s="60"/>
      <c r="D35" s="60"/>
      <c r="E35" s="60"/>
      <c r="F35" s="60"/>
      <c r="G35" s="60"/>
      <c r="H35" s="60"/>
      <c r="I35" s="60"/>
    </row>
    <row r="36" spans="1:9" x14ac:dyDescent="0.2">
      <c r="A36" s="52">
        <v>1130</v>
      </c>
      <c r="B36" s="60"/>
      <c r="C36" s="60"/>
      <c r="D36" s="60"/>
      <c r="E36" s="60"/>
      <c r="F36" s="60"/>
      <c r="G36" s="60"/>
      <c r="H36" s="60"/>
      <c r="I36" s="60"/>
    </row>
    <row r="37" spans="1:9" x14ac:dyDescent="0.2">
      <c r="A37" s="52">
        <v>12</v>
      </c>
      <c r="B37" s="60"/>
      <c r="C37" s="60"/>
      <c r="D37" s="60"/>
      <c r="E37" s="60"/>
      <c r="F37" s="60"/>
      <c r="G37" s="60"/>
      <c r="H37" s="60"/>
      <c r="I37" s="60"/>
    </row>
    <row r="38" spans="1:9" x14ac:dyDescent="0.2">
      <c r="A38" s="52"/>
      <c r="B38" s="60"/>
      <c r="C38" s="60"/>
      <c r="D38" s="60"/>
      <c r="E38" s="60"/>
      <c r="F38" s="60"/>
      <c r="G38" s="60"/>
      <c r="H38" s="60"/>
      <c r="I38" s="60"/>
    </row>
    <row r="39" spans="1:9" x14ac:dyDescent="0.2">
      <c r="A39" s="52"/>
      <c r="B39" s="60"/>
      <c r="C39" s="60"/>
      <c r="D39" s="60"/>
      <c r="E39" s="60"/>
      <c r="F39" s="60"/>
      <c r="G39" s="60"/>
      <c r="H39" s="60"/>
      <c r="I39" s="60"/>
    </row>
    <row r="40" spans="1:9" x14ac:dyDescent="0.2">
      <c r="A40" s="52"/>
      <c r="B40" s="60"/>
      <c r="C40" s="60"/>
      <c r="D40" s="60"/>
      <c r="E40" s="60"/>
      <c r="F40" s="60"/>
      <c r="G40" s="60"/>
      <c r="H40" s="60"/>
      <c r="I40" s="60"/>
    </row>
    <row r="41" spans="1:9" x14ac:dyDescent="0.2">
      <c r="A41" s="52"/>
      <c r="B41" s="60"/>
      <c r="C41" s="60"/>
      <c r="D41" s="60"/>
      <c r="E41" s="60"/>
      <c r="F41" s="60"/>
      <c r="G41" s="60"/>
      <c r="H41" s="60"/>
      <c r="I41" s="60"/>
    </row>
    <row r="42" spans="1:9" x14ac:dyDescent="0.2">
      <c r="A42" s="52"/>
      <c r="B42" s="60"/>
      <c r="C42" s="60"/>
      <c r="D42" s="60"/>
      <c r="E42" s="60"/>
      <c r="F42" s="60"/>
      <c r="G42" s="60"/>
      <c r="H42" s="60"/>
      <c r="I42" s="60"/>
    </row>
    <row r="43" spans="1:9" x14ac:dyDescent="0.2">
      <c r="A43" s="52"/>
      <c r="B43" s="60"/>
      <c r="C43" s="60"/>
      <c r="D43" s="60"/>
      <c r="E43" s="60"/>
      <c r="F43" s="60"/>
      <c r="G43" s="60"/>
      <c r="H43" s="60"/>
      <c r="I43" s="60"/>
    </row>
    <row r="44" spans="1:9" x14ac:dyDescent="0.2">
      <c r="A44" s="52"/>
      <c r="B44" s="60"/>
      <c r="C44" s="60"/>
      <c r="D44" s="60"/>
      <c r="E44" s="60"/>
      <c r="F44" s="60"/>
      <c r="G44" s="60"/>
      <c r="H44" s="60"/>
      <c r="I44" s="60"/>
    </row>
    <row r="45" spans="1:9" ht="17" x14ac:dyDescent="0.2">
      <c r="A45" s="52"/>
      <c r="B45" s="60"/>
      <c r="C45" s="60"/>
      <c r="D45" s="60"/>
      <c r="E45" s="60"/>
      <c r="F45" s="60"/>
      <c r="G45" s="60"/>
      <c r="H45" s="60"/>
      <c r="I45" s="5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D885-F75B-1B48-8B5A-5A7AA7A275D5}">
  <dimension ref="A1:O45"/>
  <sheetViews>
    <sheetView topLeftCell="F1" workbookViewId="0">
      <selection activeCell="M1" sqref="J1:M1048576"/>
    </sheetView>
  </sheetViews>
  <sheetFormatPr baseColWidth="10" defaultColWidth="21.83203125" defaultRowHeight="16" x14ac:dyDescent="0.2"/>
  <cols>
    <col min="1" max="2" width="21.83203125" style="53"/>
    <col min="3" max="10" width="21.83203125" style="61"/>
    <col min="11" max="16384" width="21.83203125" style="46"/>
  </cols>
  <sheetData>
    <row r="1" spans="1:15" s="73" customFormat="1" ht="14" customHeight="1" thickBot="1" x14ac:dyDescent="0.25">
      <c r="A1" s="71"/>
      <c r="B1" s="71"/>
      <c r="C1" s="72" t="s">
        <v>170</v>
      </c>
      <c r="D1" s="72" t="s">
        <v>170</v>
      </c>
      <c r="E1" s="72" t="s">
        <v>170</v>
      </c>
      <c r="F1" s="72" t="s">
        <v>170</v>
      </c>
      <c r="G1" s="72" t="s">
        <v>170</v>
      </c>
      <c r="H1" s="72" t="s">
        <v>170</v>
      </c>
      <c r="I1" s="72" t="s">
        <v>170</v>
      </c>
      <c r="J1" s="72" t="s">
        <v>170</v>
      </c>
      <c r="K1" s="72" t="s">
        <v>171</v>
      </c>
      <c r="L1" s="72" t="s">
        <v>171</v>
      </c>
      <c r="M1" s="72" t="s">
        <v>171</v>
      </c>
      <c r="N1" s="72" t="s">
        <v>171</v>
      </c>
    </row>
    <row r="2" spans="1:15" ht="19" thickBot="1" x14ac:dyDescent="0.25">
      <c r="A2" s="48"/>
      <c r="B2" s="75"/>
      <c r="C2" s="54" t="s">
        <v>159</v>
      </c>
      <c r="D2" s="54" t="s">
        <v>160</v>
      </c>
      <c r="E2" s="54" t="s">
        <v>161</v>
      </c>
      <c r="F2" s="54" t="s">
        <v>162</v>
      </c>
      <c r="G2" s="55" t="s">
        <v>163</v>
      </c>
      <c r="H2" s="55" t="s">
        <v>164</v>
      </c>
      <c r="I2" s="55" t="s">
        <v>165</v>
      </c>
      <c r="J2" s="56" t="s">
        <v>166</v>
      </c>
      <c r="K2" s="68" t="s">
        <v>172</v>
      </c>
      <c r="L2" s="69" t="s">
        <v>172</v>
      </c>
      <c r="M2" s="69" t="s">
        <v>173</v>
      </c>
      <c r="N2" s="70" t="s">
        <v>173</v>
      </c>
      <c r="O2" s="47"/>
    </row>
    <row r="3" spans="1:15" ht="18" x14ac:dyDescent="0.2">
      <c r="A3" s="49">
        <v>7</v>
      </c>
      <c r="B3" s="49" t="s">
        <v>179</v>
      </c>
      <c r="C3" s="57" t="s">
        <v>129</v>
      </c>
      <c r="D3" s="57" t="s">
        <v>129</v>
      </c>
      <c r="E3" s="57" t="s">
        <v>129</v>
      </c>
      <c r="F3" s="57" t="s">
        <v>129</v>
      </c>
      <c r="G3" s="58"/>
      <c r="H3" s="58"/>
      <c r="I3" s="58"/>
      <c r="J3" s="58"/>
      <c r="K3" s="57" t="s">
        <v>129</v>
      </c>
      <c r="L3" s="57" t="s">
        <v>129</v>
      </c>
      <c r="M3" s="74"/>
      <c r="N3" s="74"/>
    </row>
    <row r="4" spans="1:15" ht="18" x14ac:dyDescent="0.2">
      <c r="A4" s="50">
        <v>730</v>
      </c>
      <c r="B4" s="50"/>
      <c r="C4" s="63" t="s">
        <v>130</v>
      </c>
      <c r="D4" s="63" t="s">
        <v>130</v>
      </c>
      <c r="E4" s="59" t="s">
        <v>132</v>
      </c>
      <c r="F4" s="59" t="s">
        <v>132</v>
      </c>
      <c r="G4" s="60"/>
      <c r="H4" s="60"/>
      <c r="I4" s="60"/>
      <c r="J4" s="60"/>
      <c r="K4" s="59" t="s">
        <v>175</v>
      </c>
      <c r="L4" s="59" t="s">
        <v>175</v>
      </c>
      <c r="M4" s="59"/>
      <c r="N4" s="59"/>
    </row>
    <row r="5" spans="1:15" ht="36" x14ac:dyDescent="0.2">
      <c r="A5" s="50">
        <v>8</v>
      </c>
      <c r="B5" s="50"/>
      <c r="C5" s="64" t="s">
        <v>137</v>
      </c>
      <c r="D5" s="64" t="s">
        <v>137</v>
      </c>
      <c r="E5" s="59" t="s">
        <v>132</v>
      </c>
      <c r="F5" s="59" t="s">
        <v>132</v>
      </c>
      <c r="G5" s="60"/>
      <c r="H5" s="60"/>
      <c r="I5" s="60"/>
      <c r="J5" s="60"/>
      <c r="K5" s="59" t="s">
        <v>175</v>
      </c>
      <c r="L5" s="59" t="s">
        <v>175</v>
      </c>
      <c r="M5" s="59"/>
      <c r="N5" s="59"/>
    </row>
    <row r="6" spans="1:15" ht="90" x14ac:dyDescent="0.2">
      <c r="A6" s="50">
        <v>830</v>
      </c>
      <c r="B6" s="50"/>
      <c r="C6" s="64" t="s">
        <v>138</v>
      </c>
      <c r="D6" s="64" t="s">
        <v>138</v>
      </c>
      <c r="E6" s="65" t="s">
        <v>178</v>
      </c>
      <c r="F6" s="65" t="s">
        <v>177</v>
      </c>
      <c r="G6" s="60"/>
      <c r="H6" s="60"/>
      <c r="I6" s="60"/>
      <c r="J6" s="60"/>
      <c r="K6" s="59" t="s">
        <v>175</v>
      </c>
      <c r="L6" s="59" t="s">
        <v>175</v>
      </c>
      <c r="M6" s="59"/>
      <c r="N6" s="59"/>
    </row>
    <row r="7" spans="1:15" ht="36" x14ac:dyDescent="0.2">
      <c r="A7" s="50">
        <v>9</v>
      </c>
      <c r="B7" s="50"/>
      <c r="C7" s="59" t="s">
        <v>176</v>
      </c>
      <c r="D7" s="59" t="s">
        <v>176</v>
      </c>
      <c r="E7" s="59" t="s">
        <v>152</v>
      </c>
      <c r="F7" s="59" t="s">
        <v>152</v>
      </c>
      <c r="G7" s="60"/>
      <c r="H7" s="60"/>
      <c r="I7" s="60"/>
      <c r="J7" s="60"/>
      <c r="K7" s="59" t="s">
        <v>175</v>
      </c>
      <c r="L7" s="59" t="s">
        <v>175</v>
      </c>
      <c r="M7" s="59"/>
      <c r="N7" s="59"/>
    </row>
    <row r="8" spans="1:15" ht="18" x14ac:dyDescent="0.2">
      <c r="A8" s="50">
        <v>930</v>
      </c>
      <c r="B8" s="50"/>
      <c r="C8" s="63" t="s">
        <v>174</v>
      </c>
      <c r="D8" s="63" t="s">
        <v>130</v>
      </c>
      <c r="E8" s="63" t="s">
        <v>174</v>
      </c>
      <c r="F8" s="63" t="s">
        <v>130</v>
      </c>
      <c r="G8" s="60"/>
      <c r="H8" s="60"/>
      <c r="I8" s="60"/>
      <c r="J8" s="60"/>
      <c r="K8" s="63" t="s">
        <v>130</v>
      </c>
      <c r="L8" s="63" t="s">
        <v>130</v>
      </c>
      <c r="M8" s="59"/>
      <c r="N8" s="59"/>
    </row>
    <row r="9" spans="1:15" ht="18" x14ac:dyDescent="0.2">
      <c r="A9" s="50">
        <v>10</v>
      </c>
      <c r="B9" s="50"/>
      <c r="C9" s="63" t="s">
        <v>146</v>
      </c>
      <c r="D9" s="63" t="s">
        <v>146</v>
      </c>
      <c r="E9" s="63" t="s">
        <v>146</v>
      </c>
      <c r="F9" s="63" t="s">
        <v>146</v>
      </c>
      <c r="G9" s="60"/>
      <c r="H9" s="60"/>
      <c r="I9" s="60"/>
      <c r="J9" s="60"/>
      <c r="K9" s="63" t="s">
        <v>146</v>
      </c>
      <c r="L9" s="63" t="s">
        <v>146</v>
      </c>
      <c r="M9" s="59"/>
      <c r="N9" s="59"/>
    </row>
    <row r="10" spans="1:15" ht="18" x14ac:dyDescent="0.2">
      <c r="A10" s="50">
        <v>1030</v>
      </c>
      <c r="B10" s="50"/>
      <c r="C10" s="63" t="s">
        <v>146</v>
      </c>
      <c r="D10" s="63" t="s">
        <v>146</v>
      </c>
      <c r="E10" s="63" t="s">
        <v>146</v>
      </c>
      <c r="F10" s="63" t="s">
        <v>146</v>
      </c>
      <c r="G10" s="60"/>
      <c r="H10" s="60"/>
      <c r="I10" s="60"/>
      <c r="J10" s="60"/>
      <c r="K10" s="63" t="s">
        <v>146</v>
      </c>
      <c r="L10" s="63" t="s">
        <v>146</v>
      </c>
      <c r="M10" s="59"/>
      <c r="N10" s="59"/>
    </row>
    <row r="11" spans="1:15" ht="18" x14ac:dyDescent="0.2">
      <c r="A11" s="50">
        <v>11</v>
      </c>
      <c r="B11" s="50"/>
      <c r="C11" s="62" t="s">
        <v>169</v>
      </c>
      <c r="D11" s="62" t="s">
        <v>169</v>
      </c>
      <c r="E11" s="67" t="s">
        <v>135</v>
      </c>
      <c r="F11" s="67" t="s">
        <v>135</v>
      </c>
      <c r="G11" s="60"/>
      <c r="H11" s="60"/>
      <c r="I11" s="60"/>
      <c r="J11" s="60"/>
      <c r="K11" s="59" t="s">
        <v>132</v>
      </c>
      <c r="L11" s="62" t="s">
        <v>169</v>
      </c>
      <c r="M11" s="59"/>
      <c r="N11" s="59"/>
    </row>
    <row r="12" spans="1:15" ht="36" x14ac:dyDescent="0.2">
      <c r="A12" s="50">
        <v>1130</v>
      </c>
      <c r="B12" s="50"/>
      <c r="C12" s="59" t="s">
        <v>158</v>
      </c>
      <c r="D12" s="59" t="s">
        <v>158</v>
      </c>
      <c r="E12" s="62" t="s">
        <v>157</v>
      </c>
      <c r="F12" s="62" t="s">
        <v>157</v>
      </c>
      <c r="G12" s="60"/>
      <c r="H12" s="60"/>
      <c r="I12" s="60"/>
      <c r="J12" s="60"/>
      <c r="K12" s="59" t="s">
        <v>158</v>
      </c>
      <c r="L12" s="59" t="s">
        <v>158</v>
      </c>
      <c r="M12" s="59"/>
      <c r="N12" s="59"/>
    </row>
    <row r="13" spans="1:15" ht="41" customHeight="1" x14ac:dyDescent="0.2">
      <c r="A13" s="50" t="s">
        <v>136</v>
      </c>
      <c r="B13" s="50"/>
      <c r="C13" s="64" t="s">
        <v>137</v>
      </c>
      <c r="D13" s="64" t="s">
        <v>137</v>
      </c>
      <c r="E13" s="59" t="s">
        <v>132</v>
      </c>
      <c r="F13" s="59" t="s">
        <v>132</v>
      </c>
      <c r="G13" s="59" t="s">
        <v>129</v>
      </c>
      <c r="H13" s="59" t="s">
        <v>129</v>
      </c>
      <c r="I13" s="59" t="s">
        <v>129</v>
      </c>
      <c r="J13" s="59" t="s">
        <v>129</v>
      </c>
      <c r="K13" s="64" t="s">
        <v>137</v>
      </c>
      <c r="L13" s="64" t="s">
        <v>137</v>
      </c>
      <c r="M13" s="59"/>
      <c r="N13" s="59"/>
    </row>
    <row r="14" spans="1:15" ht="36" x14ac:dyDescent="0.2">
      <c r="A14" s="50">
        <v>1230</v>
      </c>
      <c r="B14" s="50"/>
      <c r="C14" s="64" t="s">
        <v>138</v>
      </c>
      <c r="D14" s="64" t="s">
        <v>138</v>
      </c>
      <c r="E14" s="65" t="s">
        <v>150</v>
      </c>
      <c r="F14" s="65" t="s">
        <v>150</v>
      </c>
      <c r="G14" s="63" t="s">
        <v>130</v>
      </c>
      <c r="H14" s="63" t="s">
        <v>130</v>
      </c>
      <c r="I14" s="66" t="s">
        <v>167</v>
      </c>
      <c r="J14" s="66" t="s">
        <v>167</v>
      </c>
      <c r="K14" s="64" t="s">
        <v>138</v>
      </c>
      <c r="L14" s="64" t="s">
        <v>138</v>
      </c>
      <c r="M14" s="59"/>
      <c r="N14" s="59"/>
    </row>
    <row r="15" spans="1:15" ht="36" x14ac:dyDescent="0.2">
      <c r="A15" s="50">
        <v>1</v>
      </c>
      <c r="B15" s="50"/>
      <c r="C15" s="65" t="s">
        <v>153</v>
      </c>
      <c r="D15" s="65" t="s">
        <v>147</v>
      </c>
      <c r="E15" s="59" t="s">
        <v>151</v>
      </c>
      <c r="F15" s="59" t="s">
        <v>152</v>
      </c>
      <c r="G15" s="63" t="s">
        <v>148</v>
      </c>
      <c r="H15" s="63" t="s">
        <v>148</v>
      </c>
      <c r="I15" s="66" t="s">
        <v>167</v>
      </c>
      <c r="J15" s="66" t="s">
        <v>167</v>
      </c>
      <c r="K15" s="65" t="s">
        <v>153</v>
      </c>
      <c r="L15" s="65" t="s">
        <v>147</v>
      </c>
      <c r="M15" s="59"/>
      <c r="N15" s="59"/>
    </row>
    <row r="16" spans="1:15" ht="36" x14ac:dyDescent="0.2">
      <c r="A16" s="50">
        <v>130</v>
      </c>
      <c r="B16" s="50"/>
      <c r="C16" s="65" t="s">
        <v>154</v>
      </c>
      <c r="D16" s="59" t="s">
        <v>132</v>
      </c>
      <c r="E16" s="63" t="s">
        <v>130</v>
      </c>
      <c r="F16" s="63" t="s">
        <v>130</v>
      </c>
      <c r="G16" s="63" t="s">
        <v>148</v>
      </c>
      <c r="H16" s="63" t="s">
        <v>148</v>
      </c>
      <c r="I16" s="66" t="s">
        <v>167</v>
      </c>
      <c r="J16" s="66" t="s">
        <v>167</v>
      </c>
      <c r="K16" s="65" t="s">
        <v>154</v>
      </c>
      <c r="L16" s="59" t="s">
        <v>132</v>
      </c>
      <c r="M16" s="59"/>
      <c r="N16" s="59"/>
    </row>
    <row r="17" spans="1:14" ht="36" x14ac:dyDescent="0.2">
      <c r="A17" s="50">
        <v>2</v>
      </c>
      <c r="B17" s="50"/>
      <c r="C17" s="59" t="s">
        <v>132</v>
      </c>
      <c r="D17" s="59" t="s">
        <v>132</v>
      </c>
      <c r="E17" s="63" t="s">
        <v>148</v>
      </c>
      <c r="F17" s="63" t="s">
        <v>148</v>
      </c>
      <c r="G17" s="65" t="s">
        <v>149</v>
      </c>
      <c r="H17" s="65" t="s">
        <v>145</v>
      </c>
      <c r="I17" s="65" t="s">
        <v>156</v>
      </c>
      <c r="J17" s="65" t="s">
        <v>156</v>
      </c>
      <c r="K17" s="59" t="s">
        <v>132</v>
      </c>
      <c r="L17" s="59" t="s">
        <v>132</v>
      </c>
      <c r="M17" s="59"/>
      <c r="N17" s="59"/>
    </row>
    <row r="18" spans="1:14" ht="36" x14ac:dyDescent="0.2">
      <c r="A18" s="50">
        <v>230</v>
      </c>
      <c r="B18" s="50"/>
      <c r="C18" s="59" t="s">
        <v>132</v>
      </c>
      <c r="D18" s="59" t="s">
        <v>132</v>
      </c>
      <c r="E18" s="63" t="s">
        <v>148</v>
      </c>
      <c r="F18" s="63" t="s">
        <v>148</v>
      </c>
      <c r="G18" s="65" t="s">
        <v>155</v>
      </c>
      <c r="H18" s="66" t="s">
        <v>167</v>
      </c>
      <c r="I18" s="63" t="s">
        <v>139</v>
      </c>
      <c r="J18" s="63" t="s">
        <v>130</v>
      </c>
      <c r="K18" s="59" t="s">
        <v>132</v>
      </c>
      <c r="L18" s="59" t="s">
        <v>132</v>
      </c>
      <c r="M18" s="59"/>
      <c r="N18" s="59"/>
    </row>
    <row r="19" spans="1:14" ht="36" x14ac:dyDescent="0.2">
      <c r="A19" s="50">
        <v>3</v>
      </c>
      <c r="B19" s="50"/>
      <c r="C19" s="59" t="s">
        <v>132</v>
      </c>
      <c r="D19" s="59" t="s">
        <v>132</v>
      </c>
      <c r="E19" s="59" t="s">
        <v>140</v>
      </c>
      <c r="F19" s="59" t="s">
        <v>141</v>
      </c>
      <c r="G19" s="66" t="s">
        <v>167</v>
      </c>
      <c r="H19" s="66" t="s">
        <v>167</v>
      </c>
      <c r="I19" s="63" t="s">
        <v>142</v>
      </c>
      <c r="J19" s="63" t="s">
        <v>133</v>
      </c>
      <c r="K19" s="59" t="s">
        <v>132</v>
      </c>
      <c r="L19" s="59" t="s">
        <v>132</v>
      </c>
      <c r="M19" s="59"/>
      <c r="N19" s="59"/>
    </row>
    <row r="20" spans="1:14" ht="18" x14ac:dyDescent="0.2">
      <c r="A20" s="51">
        <v>0.14583333333333334</v>
      </c>
      <c r="B20" s="51"/>
      <c r="C20" s="59" t="s">
        <v>143</v>
      </c>
      <c r="D20" s="59" t="s">
        <v>143</v>
      </c>
      <c r="E20" s="59" t="s">
        <v>144</v>
      </c>
      <c r="F20" s="59" t="s">
        <v>144</v>
      </c>
      <c r="G20" s="62" t="s">
        <v>134</v>
      </c>
      <c r="H20" s="59" t="s">
        <v>132</v>
      </c>
      <c r="I20" s="63" t="s">
        <v>146</v>
      </c>
      <c r="J20" s="63" t="s">
        <v>146</v>
      </c>
      <c r="K20" s="59" t="s">
        <v>143</v>
      </c>
      <c r="L20" s="59" t="s">
        <v>143</v>
      </c>
      <c r="M20" s="59"/>
      <c r="N20" s="59"/>
    </row>
    <row r="21" spans="1:14" ht="18" x14ac:dyDescent="0.2">
      <c r="A21" s="50">
        <v>4</v>
      </c>
      <c r="B21" s="50"/>
      <c r="C21" s="60"/>
      <c r="D21" s="60"/>
      <c r="E21" s="60"/>
      <c r="F21" s="60"/>
      <c r="G21" s="59" t="s">
        <v>132</v>
      </c>
      <c r="H21" s="62" t="s">
        <v>134</v>
      </c>
      <c r="I21" s="67" t="s">
        <v>135</v>
      </c>
      <c r="J21" s="67" t="s">
        <v>135</v>
      </c>
    </row>
    <row r="22" spans="1:14" ht="36" x14ac:dyDescent="0.2">
      <c r="A22" s="51">
        <v>0.1875</v>
      </c>
      <c r="B22" s="51"/>
      <c r="C22" s="60"/>
      <c r="D22" s="60"/>
      <c r="E22" s="60"/>
      <c r="F22" s="60"/>
      <c r="G22" s="59" t="s">
        <v>158</v>
      </c>
      <c r="H22" s="59" t="s">
        <v>158</v>
      </c>
      <c r="I22" s="62" t="s">
        <v>157</v>
      </c>
      <c r="J22" s="62" t="s">
        <v>157</v>
      </c>
    </row>
    <row r="23" spans="1:14" ht="36" x14ac:dyDescent="0.2">
      <c r="A23" s="50">
        <v>5</v>
      </c>
      <c r="B23" s="50"/>
      <c r="C23" s="60"/>
      <c r="D23" s="60"/>
      <c r="E23" s="60"/>
      <c r="F23" s="60"/>
      <c r="G23" s="64" t="s">
        <v>137</v>
      </c>
      <c r="H23" s="64" t="s">
        <v>137</v>
      </c>
      <c r="I23" s="59" t="s">
        <v>132</v>
      </c>
      <c r="J23" s="59" t="s">
        <v>132</v>
      </c>
    </row>
    <row r="24" spans="1:14" ht="36" x14ac:dyDescent="0.2">
      <c r="A24" s="50">
        <v>530</v>
      </c>
      <c r="B24" s="50"/>
      <c r="C24" s="60"/>
      <c r="D24" s="60"/>
      <c r="E24" s="60"/>
      <c r="F24" s="60"/>
      <c r="G24" s="64" t="s">
        <v>138</v>
      </c>
      <c r="H24" s="64" t="s">
        <v>138</v>
      </c>
      <c r="I24" s="65" t="s">
        <v>150</v>
      </c>
      <c r="J24" s="65" t="s">
        <v>150</v>
      </c>
    </row>
    <row r="25" spans="1:14" ht="36" x14ac:dyDescent="0.2">
      <c r="A25" s="50">
        <v>6</v>
      </c>
      <c r="B25" s="50"/>
      <c r="C25" s="60"/>
      <c r="D25" s="60"/>
      <c r="E25" s="60"/>
      <c r="F25" s="60"/>
      <c r="G25" s="65" t="s">
        <v>153</v>
      </c>
      <c r="H25" s="65" t="s">
        <v>147</v>
      </c>
      <c r="I25" s="59" t="s">
        <v>151</v>
      </c>
      <c r="J25" s="59" t="s">
        <v>152</v>
      </c>
    </row>
    <row r="26" spans="1:14" ht="36" x14ac:dyDescent="0.2">
      <c r="A26" s="50">
        <v>630</v>
      </c>
      <c r="B26" s="50"/>
      <c r="C26" s="60"/>
      <c r="D26" s="60"/>
      <c r="E26" s="60"/>
      <c r="F26" s="60"/>
      <c r="G26" s="65" t="s">
        <v>154</v>
      </c>
      <c r="H26" s="59" t="s">
        <v>132</v>
      </c>
      <c r="I26" s="63" t="s">
        <v>130</v>
      </c>
      <c r="J26" s="63" t="s">
        <v>130</v>
      </c>
    </row>
    <row r="27" spans="1:14" ht="18" x14ac:dyDescent="0.2">
      <c r="A27" s="50">
        <v>7</v>
      </c>
      <c r="B27" s="50"/>
      <c r="C27" s="60"/>
      <c r="D27" s="60"/>
      <c r="E27" s="60"/>
      <c r="F27" s="60"/>
      <c r="G27" s="59" t="s">
        <v>132</v>
      </c>
      <c r="H27" s="59" t="s">
        <v>132</v>
      </c>
      <c r="I27" s="63" t="s">
        <v>148</v>
      </c>
      <c r="J27" s="63" t="s">
        <v>148</v>
      </c>
    </row>
    <row r="28" spans="1:14" ht="18" x14ac:dyDescent="0.2">
      <c r="A28" s="50">
        <v>730</v>
      </c>
      <c r="B28" s="50"/>
      <c r="C28" s="60"/>
      <c r="D28" s="60"/>
      <c r="E28" s="60"/>
      <c r="F28" s="60"/>
      <c r="G28" s="59" t="s">
        <v>132</v>
      </c>
      <c r="H28" s="59" t="s">
        <v>132</v>
      </c>
      <c r="I28" s="63" t="s">
        <v>148</v>
      </c>
      <c r="J28" s="63" t="s">
        <v>148</v>
      </c>
    </row>
    <row r="29" spans="1:14" ht="18" x14ac:dyDescent="0.2">
      <c r="A29" s="50">
        <v>8</v>
      </c>
      <c r="B29" s="50"/>
      <c r="C29" s="60"/>
      <c r="D29" s="60"/>
      <c r="E29" s="60"/>
      <c r="F29" s="60"/>
      <c r="G29" s="59" t="s">
        <v>132</v>
      </c>
      <c r="H29" s="59" t="s">
        <v>132</v>
      </c>
      <c r="I29" s="59" t="s">
        <v>140</v>
      </c>
      <c r="J29" s="59" t="s">
        <v>141</v>
      </c>
    </row>
    <row r="30" spans="1:14" ht="18" x14ac:dyDescent="0.2">
      <c r="A30" s="50">
        <v>830</v>
      </c>
      <c r="B30" s="50"/>
      <c r="C30" s="60"/>
      <c r="D30" s="60"/>
      <c r="E30" s="60"/>
      <c r="F30" s="60"/>
      <c r="G30" s="59" t="s">
        <v>143</v>
      </c>
      <c r="H30" s="59" t="s">
        <v>143</v>
      </c>
      <c r="I30" s="59" t="s">
        <v>144</v>
      </c>
      <c r="J30" s="59" t="s">
        <v>144</v>
      </c>
    </row>
    <row r="31" spans="1:14" ht="17" x14ac:dyDescent="0.2">
      <c r="A31" s="50">
        <v>9</v>
      </c>
      <c r="B31" s="50"/>
      <c r="C31" s="60"/>
      <c r="D31" s="60"/>
      <c r="E31" s="60"/>
      <c r="F31" s="60"/>
      <c r="G31" s="60"/>
      <c r="H31" s="60"/>
      <c r="I31" s="60"/>
      <c r="J31" s="60"/>
    </row>
    <row r="32" spans="1:14" x14ac:dyDescent="0.2">
      <c r="A32" s="52">
        <v>930</v>
      </c>
      <c r="B32" s="52"/>
      <c r="C32" s="60"/>
      <c r="D32" s="60"/>
      <c r="E32" s="60"/>
      <c r="F32" s="60"/>
      <c r="G32" s="60"/>
      <c r="H32" s="60"/>
      <c r="I32" s="60"/>
      <c r="J32" s="60"/>
    </row>
    <row r="33" spans="1:10" x14ac:dyDescent="0.2">
      <c r="A33" s="52">
        <v>10</v>
      </c>
      <c r="B33" s="52"/>
      <c r="C33" s="60"/>
      <c r="D33" s="60"/>
      <c r="E33" s="60"/>
      <c r="F33" s="60"/>
      <c r="G33" s="60"/>
      <c r="H33" s="60"/>
      <c r="I33" s="60"/>
      <c r="J33" s="60"/>
    </row>
    <row r="34" spans="1:10" x14ac:dyDescent="0.2">
      <c r="A34" s="52">
        <v>1030</v>
      </c>
      <c r="B34" s="52"/>
      <c r="C34" s="60"/>
      <c r="D34" s="60"/>
      <c r="E34" s="60"/>
      <c r="F34" s="60"/>
      <c r="G34" s="60"/>
      <c r="H34" s="60"/>
      <c r="I34" s="60"/>
      <c r="J34" s="60"/>
    </row>
    <row r="35" spans="1:10" x14ac:dyDescent="0.2">
      <c r="A35" s="52">
        <v>11</v>
      </c>
      <c r="B35" s="52"/>
      <c r="C35" s="60"/>
      <c r="D35" s="60"/>
      <c r="E35" s="60"/>
      <c r="F35" s="60"/>
      <c r="G35" s="60"/>
      <c r="H35" s="60"/>
      <c r="I35" s="60"/>
      <c r="J35" s="60"/>
    </row>
    <row r="36" spans="1:10" x14ac:dyDescent="0.2">
      <c r="A36" s="52">
        <v>1130</v>
      </c>
      <c r="B36" s="52"/>
      <c r="C36" s="60"/>
      <c r="D36" s="60"/>
      <c r="E36" s="60"/>
      <c r="F36" s="60"/>
      <c r="G36" s="60"/>
      <c r="H36" s="60"/>
      <c r="I36" s="60"/>
      <c r="J36" s="60"/>
    </row>
    <row r="37" spans="1:10" x14ac:dyDescent="0.2">
      <c r="A37" s="52">
        <v>12</v>
      </c>
      <c r="B37" s="52"/>
      <c r="C37" s="60"/>
      <c r="D37" s="60"/>
      <c r="E37" s="60"/>
      <c r="F37" s="60"/>
      <c r="G37" s="60"/>
      <c r="H37" s="60"/>
      <c r="I37" s="60"/>
      <c r="J37" s="60"/>
    </row>
    <row r="38" spans="1:10" x14ac:dyDescent="0.2">
      <c r="A38" s="52"/>
      <c r="B38" s="52"/>
      <c r="C38" s="60"/>
      <c r="D38" s="60"/>
      <c r="E38" s="60"/>
      <c r="F38" s="60"/>
      <c r="G38" s="60"/>
      <c r="H38" s="60"/>
      <c r="I38" s="60"/>
      <c r="J38" s="60"/>
    </row>
    <row r="39" spans="1:10" x14ac:dyDescent="0.2">
      <c r="A39" s="52"/>
      <c r="B39" s="52"/>
      <c r="C39" s="60"/>
      <c r="D39" s="60"/>
      <c r="E39" s="60"/>
      <c r="F39" s="60"/>
      <c r="G39" s="60"/>
      <c r="H39" s="60"/>
      <c r="I39" s="60"/>
      <c r="J39" s="60"/>
    </row>
    <row r="40" spans="1:10" x14ac:dyDescent="0.2">
      <c r="A40" s="52"/>
      <c r="B40" s="52"/>
      <c r="C40" s="60"/>
      <c r="D40" s="60"/>
      <c r="E40" s="60"/>
      <c r="F40" s="60"/>
      <c r="G40" s="60"/>
      <c r="H40" s="60"/>
      <c r="I40" s="60"/>
      <c r="J40" s="60"/>
    </row>
    <row r="41" spans="1:10" x14ac:dyDescent="0.2">
      <c r="A41" s="52"/>
      <c r="B41" s="52"/>
      <c r="C41" s="60"/>
      <c r="D41" s="60"/>
      <c r="E41" s="60"/>
      <c r="F41" s="60"/>
      <c r="G41" s="60"/>
      <c r="H41" s="60"/>
      <c r="I41" s="60"/>
      <c r="J41" s="60"/>
    </row>
    <row r="42" spans="1:10" x14ac:dyDescent="0.2">
      <c r="A42" s="52"/>
      <c r="B42" s="52"/>
      <c r="C42" s="60"/>
      <c r="D42" s="60"/>
      <c r="E42" s="60"/>
      <c r="F42" s="60"/>
      <c r="G42" s="60"/>
      <c r="H42" s="60"/>
      <c r="I42" s="60"/>
      <c r="J42" s="60"/>
    </row>
    <row r="43" spans="1:10" x14ac:dyDescent="0.2">
      <c r="A43" s="52"/>
      <c r="B43" s="52"/>
      <c r="C43" s="60"/>
      <c r="D43" s="60"/>
      <c r="E43" s="60"/>
      <c r="F43" s="60"/>
      <c r="G43" s="60"/>
      <c r="H43" s="60"/>
      <c r="I43" s="60"/>
      <c r="J43" s="60"/>
    </row>
    <row r="44" spans="1:10" x14ac:dyDescent="0.2">
      <c r="A44" s="52"/>
      <c r="B44" s="52"/>
      <c r="C44" s="60"/>
      <c r="D44" s="60"/>
      <c r="E44" s="60"/>
      <c r="F44" s="60"/>
      <c r="G44" s="60"/>
      <c r="H44" s="60"/>
      <c r="I44" s="60"/>
      <c r="J44" s="60"/>
    </row>
    <row r="45" spans="1:10" ht="17" x14ac:dyDescent="0.2">
      <c r="A45" s="52"/>
      <c r="B45" s="52"/>
      <c r="C45" s="60"/>
      <c r="D45" s="60"/>
      <c r="E45" s="60"/>
      <c r="F45" s="60"/>
      <c r="G45" s="60"/>
      <c r="H45" s="60"/>
      <c r="I45" s="60"/>
      <c r="J45" s="5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F553-6BC6-3C49-9168-39787049E798}">
  <dimension ref="A1:J45"/>
  <sheetViews>
    <sheetView workbookViewId="0">
      <selection activeCell="J1" sqref="J1:M1048576"/>
    </sheetView>
  </sheetViews>
  <sheetFormatPr baseColWidth="10" defaultColWidth="21.83203125" defaultRowHeight="16" x14ac:dyDescent="0.2"/>
  <cols>
    <col min="1" max="1" width="21.83203125" style="53"/>
    <col min="2" max="9" width="21.83203125" style="61"/>
    <col min="10" max="16384" width="21.83203125" style="46"/>
  </cols>
  <sheetData>
    <row r="1" spans="1:10" s="73" customFormat="1" ht="14" customHeight="1" thickBot="1" x14ac:dyDescent="0.25">
      <c r="A1" s="71"/>
      <c r="B1" s="72" t="s">
        <v>170</v>
      </c>
      <c r="C1" s="72" t="s">
        <v>170</v>
      </c>
      <c r="D1" s="72" t="s">
        <v>170</v>
      </c>
      <c r="E1" s="72" t="s">
        <v>170</v>
      </c>
      <c r="F1" s="72" t="s">
        <v>170</v>
      </c>
      <c r="G1" s="72" t="s">
        <v>170</v>
      </c>
      <c r="H1" s="72" t="s">
        <v>170</v>
      </c>
      <c r="I1" s="72" t="s">
        <v>170</v>
      </c>
    </row>
    <row r="2" spans="1:10" ht="19" thickBot="1" x14ac:dyDescent="0.25">
      <c r="A2" s="48"/>
      <c r="B2" s="54" t="s">
        <v>159</v>
      </c>
      <c r="C2" s="54" t="s">
        <v>160</v>
      </c>
      <c r="D2" s="54" t="s">
        <v>161</v>
      </c>
      <c r="E2" s="54" t="s">
        <v>162</v>
      </c>
      <c r="F2" s="55" t="s">
        <v>163</v>
      </c>
      <c r="G2" s="55" t="s">
        <v>164</v>
      </c>
      <c r="H2" s="55" t="s">
        <v>165</v>
      </c>
      <c r="I2" s="56" t="s">
        <v>166</v>
      </c>
      <c r="J2" s="47"/>
    </row>
    <row r="3" spans="1:10" ht="18" x14ac:dyDescent="0.2">
      <c r="A3" s="49">
        <v>7</v>
      </c>
      <c r="B3" s="57" t="s">
        <v>129</v>
      </c>
      <c r="C3" s="57" t="s">
        <v>129</v>
      </c>
      <c r="D3" s="57" t="s">
        <v>129</v>
      </c>
      <c r="E3" s="57" t="s">
        <v>129</v>
      </c>
      <c r="F3" s="58"/>
      <c r="G3" s="58"/>
      <c r="H3" s="58"/>
      <c r="I3" s="58"/>
    </row>
    <row r="4" spans="1:10" ht="18" x14ac:dyDescent="0.2">
      <c r="A4" s="50">
        <v>730</v>
      </c>
      <c r="B4" s="63" t="s">
        <v>130</v>
      </c>
      <c r="C4" s="63" t="s">
        <v>130</v>
      </c>
      <c r="D4" s="59" t="s">
        <v>180</v>
      </c>
      <c r="E4" s="59" t="s">
        <v>132</v>
      </c>
      <c r="F4" s="60"/>
      <c r="G4" s="60"/>
      <c r="H4" s="60"/>
      <c r="I4" s="60"/>
    </row>
    <row r="5" spans="1:10" ht="18" x14ac:dyDescent="0.2">
      <c r="A5" s="50">
        <v>8</v>
      </c>
      <c r="B5" s="63" t="s">
        <v>146</v>
      </c>
      <c r="C5" s="63" t="s">
        <v>146</v>
      </c>
      <c r="D5" s="59" t="s">
        <v>132</v>
      </c>
      <c r="E5" s="59" t="s">
        <v>132</v>
      </c>
      <c r="F5" s="60"/>
      <c r="G5" s="60"/>
      <c r="H5" s="60"/>
      <c r="I5" s="60"/>
    </row>
    <row r="6" spans="1:10" ht="36" x14ac:dyDescent="0.2">
      <c r="A6" s="50">
        <v>830</v>
      </c>
      <c r="B6" s="63" t="s">
        <v>146</v>
      </c>
      <c r="C6" s="63" t="s">
        <v>146</v>
      </c>
      <c r="D6" s="65" t="s">
        <v>150</v>
      </c>
      <c r="E6" s="65" t="s">
        <v>150</v>
      </c>
      <c r="F6" s="60"/>
      <c r="G6" s="60"/>
      <c r="H6" s="60"/>
      <c r="I6" s="60"/>
    </row>
    <row r="7" spans="1:10" ht="36" x14ac:dyDescent="0.2">
      <c r="A7" s="50">
        <v>9</v>
      </c>
      <c r="B7" s="65" t="s">
        <v>149</v>
      </c>
      <c r="C7" s="65" t="s">
        <v>145</v>
      </c>
      <c r="D7" s="59" t="s">
        <v>151</v>
      </c>
      <c r="E7" s="59" t="s">
        <v>152</v>
      </c>
      <c r="F7" s="60"/>
      <c r="G7" s="60"/>
      <c r="H7" s="60"/>
      <c r="I7" s="60"/>
    </row>
    <row r="8" spans="1:10" ht="36" x14ac:dyDescent="0.2">
      <c r="A8" s="50">
        <v>930</v>
      </c>
      <c r="B8" s="65" t="s">
        <v>154</v>
      </c>
      <c r="C8" s="59" t="s">
        <v>132</v>
      </c>
      <c r="D8" s="63" t="s">
        <v>174</v>
      </c>
      <c r="E8" s="63" t="s">
        <v>130</v>
      </c>
      <c r="F8" s="60"/>
      <c r="G8" s="60"/>
      <c r="H8" s="60"/>
      <c r="I8" s="60"/>
    </row>
    <row r="9" spans="1:10" ht="18" x14ac:dyDescent="0.2">
      <c r="A9" s="50">
        <v>10</v>
      </c>
      <c r="B9" s="59" t="s">
        <v>132</v>
      </c>
      <c r="C9" s="59" t="s">
        <v>132</v>
      </c>
      <c r="D9" s="63" t="s">
        <v>146</v>
      </c>
      <c r="E9" s="63" t="s">
        <v>146</v>
      </c>
      <c r="F9" s="60"/>
      <c r="G9" s="60"/>
      <c r="H9" s="60"/>
      <c r="I9" s="60"/>
    </row>
    <row r="10" spans="1:10" ht="18" x14ac:dyDescent="0.2">
      <c r="A10" s="50">
        <v>1030</v>
      </c>
      <c r="B10" s="62" t="s">
        <v>168</v>
      </c>
      <c r="C10" s="59" t="s">
        <v>132</v>
      </c>
      <c r="D10" s="63" t="s">
        <v>146</v>
      </c>
      <c r="E10" s="63" t="s">
        <v>146</v>
      </c>
      <c r="F10" s="60"/>
      <c r="G10" s="60"/>
      <c r="H10" s="60"/>
      <c r="I10" s="60"/>
    </row>
    <row r="11" spans="1:10" ht="18" x14ac:dyDescent="0.2">
      <c r="A11" s="50">
        <v>11</v>
      </c>
      <c r="B11" s="59" t="s">
        <v>132</v>
      </c>
      <c r="C11" s="62" t="s">
        <v>169</v>
      </c>
      <c r="D11" s="67" t="s">
        <v>135</v>
      </c>
      <c r="E11" s="67" t="s">
        <v>135</v>
      </c>
      <c r="F11" s="60"/>
      <c r="G11" s="60"/>
      <c r="H11" s="60"/>
      <c r="I11" s="60"/>
    </row>
    <row r="12" spans="1:10" ht="36" x14ac:dyDescent="0.2">
      <c r="A12" s="50">
        <v>1130</v>
      </c>
      <c r="B12" s="59" t="s">
        <v>158</v>
      </c>
      <c r="C12" s="59" t="s">
        <v>158</v>
      </c>
      <c r="D12" s="62" t="s">
        <v>157</v>
      </c>
      <c r="E12" s="62" t="s">
        <v>157</v>
      </c>
      <c r="F12" s="60"/>
      <c r="G12" s="60"/>
      <c r="H12" s="60"/>
      <c r="I12" s="60"/>
    </row>
    <row r="13" spans="1:10" ht="41" customHeight="1" x14ac:dyDescent="0.2">
      <c r="A13" s="50" t="s">
        <v>136</v>
      </c>
      <c r="B13" s="64" t="s">
        <v>137</v>
      </c>
      <c r="C13" s="64" t="s">
        <v>137</v>
      </c>
      <c r="D13" s="59" t="s">
        <v>132</v>
      </c>
      <c r="E13" s="59" t="s">
        <v>132</v>
      </c>
      <c r="F13" s="59" t="s">
        <v>129</v>
      </c>
      <c r="G13" s="59" t="s">
        <v>129</v>
      </c>
      <c r="H13" s="59" t="s">
        <v>129</v>
      </c>
      <c r="I13" s="59" t="s">
        <v>129</v>
      </c>
    </row>
    <row r="14" spans="1:10" ht="36" x14ac:dyDescent="0.2">
      <c r="A14" s="50">
        <v>1230</v>
      </c>
      <c r="B14" s="64" t="s">
        <v>138</v>
      </c>
      <c r="C14" s="64" t="s">
        <v>138</v>
      </c>
      <c r="D14" s="65" t="s">
        <v>150</v>
      </c>
      <c r="E14" s="65" t="s">
        <v>150</v>
      </c>
      <c r="F14" s="63" t="s">
        <v>130</v>
      </c>
      <c r="G14" s="63" t="s">
        <v>130</v>
      </c>
      <c r="H14" s="66" t="s">
        <v>167</v>
      </c>
      <c r="I14" s="66" t="s">
        <v>167</v>
      </c>
    </row>
    <row r="15" spans="1:10" ht="36" x14ac:dyDescent="0.2">
      <c r="A15" s="50">
        <v>1</v>
      </c>
      <c r="B15" s="65" t="s">
        <v>153</v>
      </c>
      <c r="C15" s="65" t="s">
        <v>147</v>
      </c>
      <c r="D15" s="59" t="s">
        <v>151</v>
      </c>
      <c r="E15" s="59" t="s">
        <v>152</v>
      </c>
      <c r="F15" s="63" t="s">
        <v>148</v>
      </c>
      <c r="G15" s="63" t="s">
        <v>148</v>
      </c>
      <c r="H15" s="66" t="s">
        <v>167</v>
      </c>
      <c r="I15" s="66" t="s">
        <v>167</v>
      </c>
    </row>
    <row r="16" spans="1:10" ht="36" x14ac:dyDescent="0.2">
      <c r="A16" s="50">
        <v>130</v>
      </c>
      <c r="B16" s="65" t="s">
        <v>154</v>
      </c>
      <c r="C16" s="59" t="s">
        <v>132</v>
      </c>
      <c r="D16" s="63" t="s">
        <v>130</v>
      </c>
      <c r="E16" s="63" t="s">
        <v>130</v>
      </c>
      <c r="F16" s="63" t="s">
        <v>148</v>
      </c>
      <c r="G16" s="63" t="s">
        <v>148</v>
      </c>
      <c r="H16" s="66" t="s">
        <v>167</v>
      </c>
      <c r="I16" s="66" t="s">
        <v>167</v>
      </c>
    </row>
    <row r="17" spans="1:9" ht="36" x14ac:dyDescent="0.2">
      <c r="A17" s="50">
        <v>2</v>
      </c>
      <c r="B17" s="59" t="s">
        <v>132</v>
      </c>
      <c r="C17" s="59" t="s">
        <v>132</v>
      </c>
      <c r="D17" s="63" t="s">
        <v>148</v>
      </c>
      <c r="E17" s="63" t="s">
        <v>148</v>
      </c>
      <c r="F17" s="65" t="s">
        <v>149</v>
      </c>
      <c r="G17" s="65" t="s">
        <v>145</v>
      </c>
      <c r="H17" s="65" t="s">
        <v>156</v>
      </c>
      <c r="I17" s="65" t="s">
        <v>156</v>
      </c>
    </row>
    <row r="18" spans="1:9" ht="36" x14ac:dyDescent="0.2">
      <c r="A18" s="50">
        <v>230</v>
      </c>
      <c r="B18" s="59" t="s">
        <v>132</v>
      </c>
      <c r="C18" s="59" t="s">
        <v>132</v>
      </c>
      <c r="D18" s="63" t="s">
        <v>148</v>
      </c>
      <c r="E18" s="63" t="s">
        <v>148</v>
      </c>
      <c r="F18" s="65" t="s">
        <v>155</v>
      </c>
      <c r="G18" s="66" t="s">
        <v>167</v>
      </c>
      <c r="H18" s="63" t="s">
        <v>139</v>
      </c>
      <c r="I18" s="63" t="s">
        <v>130</v>
      </c>
    </row>
    <row r="19" spans="1:9" ht="36" x14ac:dyDescent="0.2">
      <c r="A19" s="50">
        <v>3</v>
      </c>
      <c r="B19" s="59" t="s">
        <v>132</v>
      </c>
      <c r="C19" s="59" t="s">
        <v>132</v>
      </c>
      <c r="D19" s="59" t="s">
        <v>140</v>
      </c>
      <c r="E19" s="59" t="s">
        <v>141</v>
      </c>
      <c r="F19" s="66" t="s">
        <v>167</v>
      </c>
      <c r="G19" s="66" t="s">
        <v>167</v>
      </c>
      <c r="H19" s="63" t="s">
        <v>142</v>
      </c>
      <c r="I19" s="63" t="s">
        <v>133</v>
      </c>
    </row>
    <row r="20" spans="1:9" ht="18" x14ac:dyDescent="0.2">
      <c r="A20" s="51">
        <v>0.14583333333333334</v>
      </c>
      <c r="B20" s="59" t="s">
        <v>143</v>
      </c>
      <c r="C20" s="59" t="s">
        <v>143</v>
      </c>
      <c r="D20" s="59" t="s">
        <v>144</v>
      </c>
      <c r="E20" s="59" t="s">
        <v>144</v>
      </c>
      <c r="F20" s="62" t="s">
        <v>134</v>
      </c>
      <c r="G20" s="59" t="s">
        <v>132</v>
      </c>
      <c r="H20" s="63" t="s">
        <v>146</v>
      </c>
      <c r="I20" s="63" t="s">
        <v>146</v>
      </c>
    </row>
    <row r="21" spans="1:9" ht="18" x14ac:dyDescent="0.2">
      <c r="A21" s="50">
        <v>4</v>
      </c>
      <c r="B21" s="60"/>
      <c r="C21" s="60"/>
      <c r="D21" s="60"/>
      <c r="E21" s="60"/>
      <c r="F21" s="59" t="s">
        <v>132</v>
      </c>
      <c r="G21" s="62" t="s">
        <v>134</v>
      </c>
      <c r="H21" s="67" t="s">
        <v>135</v>
      </c>
      <c r="I21" s="67" t="s">
        <v>135</v>
      </c>
    </row>
    <row r="22" spans="1:9" ht="36" x14ac:dyDescent="0.2">
      <c r="A22" s="51">
        <v>0.1875</v>
      </c>
      <c r="B22" s="60"/>
      <c r="C22" s="60"/>
      <c r="D22" s="60"/>
      <c r="E22" s="60"/>
      <c r="F22" s="59" t="s">
        <v>158</v>
      </c>
      <c r="G22" s="59" t="s">
        <v>158</v>
      </c>
      <c r="H22" s="62" t="s">
        <v>157</v>
      </c>
      <c r="I22" s="62" t="s">
        <v>157</v>
      </c>
    </row>
    <row r="23" spans="1:9" ht="36" x14ac:dyDescent="0.2">
      <c r="A23" s="50">
        <v>5</v>
      </c>
      <c r="B23" s="60"/>
      <c r="C23" s="60"/>
      <c r="D23" s="60"/>
      <c r="E23" s="60"/>
      <c r="F23" s="64" t="s">
        <v>137</v>
      </c>
      <c r="G23" s="64" t="s">
        <v>137</v>
      </c>
      <c r="H23" s="59" t="s">
        <v>132</v>
      </c>
      <c r="I23" s="59" t="s">
        <v>132</v>
      </c>
    </row>
    <row r="24" spans="1:9" ht="36" x14ac:dyDescent="0.2">
      <c r="A24" s="50">
        <v>530</v>
      </c>
      <c r="B24" s="60"/>
      <c r="C24" s="60"/>
      <c r="D24" s="60"/>
      <c r="E24" s="60"/>
      <c r="F24" s="64" t="s">
        <v>138</v>
      </c>
      <c r="G24" s="64" t="s">
        <v>138</v>
      </c>
      <c r="H24" s="65" t="s">
        <v>150</v>
      </c>
      <c r="I24" s="65" t="s">
        <v>150</v>
      </c>
    </row>
    <row r="25" spans="1:9" ht="36" x14ac:dyDescent="0.2">
      <c r="A25" s="50">
        <v>6</v>
      </c>
      <c r="B25" s="60"/>
      <c r="C25" s="60"/>
      <c r="D25" s="60"/>
      <c r="E25" s="60"/>
      <c r="F25" s="65" t="s">
        <v>153</v>
      </c>
      <c r="G25" s="65" t="s">
        <v>147</v>
      </c>
      <c r="H25" s="59" t="s">
        <v>151</v>
      </c>
      <c r="I25" s="59" t="s">
        <v>152</v>
      </c>
    </row>
    <row r="26" spans="1:9" ht="36" x14ac:dyDescent="0.2">
      <c r="A26" s="50">
        <v>630</v>
      </c>
      <c r="B26" s="60"/>
      <c r="C26" s="60"/>
      <c r="D26" s="60"/>
      <c r="E26" s="60"/>
      <c r="F26" s="65" t="s">
        <v>154</v>
      </c>
      <c r="G26" s="59" t="s">
        <v>132</v>
      </c>
      <c r="H26" s="63" t="s">
        <v>130</v>
      </c>
      <c r="I26" s="63" t="s">
        <v>130</v>
      </c>
    </row>
    <row r="27" spans="1:9" ht="18" x14ac:dyDescent="0.2">
      <c r="A27" s="50">
        <v>7</v>
      </c>
      <c r="B27" s="60"/>
      <c r="C27" s="60"/>
      <c r="D27" s="60"/>
      <c r="E27" s="60"/>
      <c r="F27" s="59" t="s">
        <v>132</v>
      </c>
      <c r="G27" s="59" t="s">
        <v>132</v>
      </c>
      <c r="H27" s="63" t="s">
        <v>148</v>
      </c>
      <c r="I27" s="63" t="s">
        <v>148</v>
      </c>
    </row>
    <row r="28" spans="1:9" ht="18" x14ac:dyDescent="0.2">
      <c r="A28" s="50">
        <v>730</v>
      </c>
      <c r="B28" s="60"/>
      <c r="C28" s="60"/>
      <c r="D28" s="60"/>
      <c r="E28" s="60"/>
      <c r="F28" s="59" t="s">
        <v>132</v>
      </c>
      <c r="G28" s="59" t="s">
        <v>132</v>
      </c>
      <c r="H28" s="63" t="s">
        <v>148</v>
      </c>
      <c r="I28" s="63" t="s">
        <v>148</v>
      </c>
    </row>
    <row r="29" spans="1:9" ht="18" x14ac:dyDescent="0.2">
      <c r="A29" s="50">
        <v>8</v>
      </c>
      <c r="B29" s="60"/>
      <c r="C29" s="60"/>
      <c r="D29" s="60"/>
      <c r="E29" s="60"/>
      <c r="F29" s="59" t="s">
        <v>132</v>
      </c>
      <c r="G29" s="59" t="s">
        <v>132</v>
      </c>
      <c r="H29" s="59" t="s">
        <v>140</v>
      </c>
      <c r="I29" s="59" t="s">
        <v>141</v>
      </c>
    </row>
    <row r="30" spans="1:9" ht="18" x14ac:dyDescent="0.2">
      <c r="A30" s="50">
        <v>830</v>
      </c>
      <c r="B30" s="60"/>
      <c r="C30" s="60"/>
      <c r="D30" s="60"/>
      <c r="E30" s="60"/>
      <c r="F30" s="59" t="s">
        <v>143</v>
      </c>
      <c r="G30" s="59" t="s">
        <v>143</v>
      </c>
      <c r="H30" s="59" t="s">
        <v>144</v>
      </c>
      <c r="I30" s="59" t="s">
        <v>144</v>
      </c>
    </row>
    <row r="31" spans="1:9" ht="17" x14ac:dyDescent="0.2">
      <c r="A31" s="50">
        <v>9</v>
      </c>
      <c r="B31" s="60"/>
      <c r="C31" s="60"/>
      <c r="D31" s="60"/>
      <c r="E31" s="60"/>
      <c r="F31" s="60"/>
      <c r="G31" s="60"/>
      <c r="H31" s="60"/>
      <c r="I31" s="60"/>
    </row>
    <row r="32" spans="1:9" x14ac:dyDescent="0.2">
      <c r="A32" s="52">
        <v>930</v>
      </c>
      <c r="B32" s="60"/>
      <c r="C32" s="60"/>
      <c r="D32" s="60"/>
      <c r="E32" s="60"/>
      <c r="F32" s="60"/>
      <c r="G32" s="60"/>
      <c r="H32" s="60"/>
      <c r="I32" s="60"/>
    </row>
    <row r="33" spans="1:9" x14ac:dyDescent="0.2">
      <c r="A33" s="52">
        <v>10</v>
      </c>
      <c r="B33" s="60"/>
      <c r="C33" s="60"/>
      <c r="D33" s="60"/>
      <c r="E33" s="60"/>
      <c r="F33" s="60"/>
      <c r="G33" s="60"/>
      <c r="H33" s="60"/>
      <c r="I33" s="60"/>
    </row>
    <row r="34" spans="1:9" x14ac:dyDescent="0.2">
      <c r="A34" s="52">
        <v>1030</v>
      </c>
      <c r="B34" s="60"/>
      <c r="C34" s="60"/>
      <c r="D34" s="60"/>
      <c r="E34" s="60"/>
      <c r="F34" s="60"/>
      <c r="G34" s="60"/>
      <c r="H34" s="60"/>
      <c r="I34" s="60"/>
    </row>
    <row r="35" spans="1:9" x14ac:dyDescent="0.2">
      <c r="A35" s="52">
        <v>11</v>
      </c>
      <c r="B35" s="60"/>
      <c r="C35" s="60"/>
      <c r="D35" s="60"/>
      <c r="E35" s="60"/>
      <c r="F35" s="60"/>
      <c r="G35" s="60"/>
      <c r="H35" s="60"/>
      <c r="I35" s="60"/>
    </row>
    <row r="36" spans="1:9" x14ac:dyDescent="0.2">
      <c r="A36" s="52">
        <v>1130</v>
      </c>
      <c r="B36" s="60"/>
      <c r="C36" s="60"/>
      <c r="D36" s="60"/>
      <c r="E36" s="60"/>
      <c r="F36" s="60"/>
      <c r="G36" s="60"/>
      <c r="H36" s="60"/>
      <c r="I36" s="60"/>
    </row>
    <row r="37" spans="1:9" x14ac:dyDescent="0.2">
      <c r="A37" s="52">
        <v>12</v>
      </c>
      <c r="B37" s="60"/>
      <c r="C37" s="60"/>
      <c r="D37" s="60"/>
      <c r="E37" s="60"/>
      <c r="F37" s="60"/>
      <c r="G37" s="60"/>
      <c r="H37" s="60"/>
      <c r="I37" s="60"/>
    </row>
    <row r="38" spans="1:9" x14ac:dyDescent="0.2">
      <c r="A38" s="52"/>
      <c r="B38" s="60"/>
      <c r="C38" s="60"/>
      <c r="D38" s="60"/>
      <c r="E38" s="60"/>
      <c r="F38" s="60"/>
      <c r="G38" s="60"/>
      <c r="H38" s="60"/>
      <c r="I38" s="60"/>
    </row>
    <row r="39" spans="1:9" x14ac:dyDescent="0.2">
      <c r="A39" s="52"/>
      <c r="B39" s="60"/>
      <c r="C39" s="60"/>
      <c r="D39" s="60"/>
      <c r="E39" s="60"/>
      <c r="F39" s="60"/>
      <c r="G39" s="60"/>
      <c r="H39" s="60"/>
      <c r="I39" s="60"/>
    </row>
    <row r="40" spans="1:9" x14ac:dyDescent="0.2">
      <c r="A40" s="52"/>
      <c r="B40" s="60"/>
      <c r="C40" s="60"/>
      <c r="D40" s="60"/>
      <c r="E40" s="60"/>
      <c r="F40" s="60"/>
      <c r="G40" s="60"/>
      <c r="H40" s="60"/>
      <c r="I40" s="60"/>
    </row>
    <row r="41" spans="1:9" x14ac:dyDescent="0.2">
      <c r="A41" s="52"/>
      <c r="B41" s="60"/>
      <c r="C41" s="60"/>
      <c r="D41" s="60"/>
      <c r="E41" s="60"/>
      <c r="F41" s="60"/>
      <c r="G41" s="60"/>
      <c r="H41" s="60"/>
      <c r="I41" s="60"/>
    </row>
    <row r="42" spans="1:9" x14ac:dyDescent="0.2">
      <c r="A42" s="52"/>
      <c r="B42" s="60"/>
      <c r="C42" s="60"/>
      <c r="D42" s="60"/>
      <c r="E42" s="60"/>
      <c r="F42" s="60"/>
      <c r="G42" s="60"/>
      <c r="H42" s="60"/>
      <c r="I42" s="60"/>
    </row>
    <row r="43" spans="1:9" x14ac:dyDescent="0.2">
      <c r="A43" s="52"/>
      <c r="B43" s="60"/>
      <c r="C43" s="60"/>
      <c r="D43" s="60"/>
      <c r="E43" s="60"/>
      <c r="F43" s="60"/>
      <c r="G43" s="60"/>
      <c r="H43" s="60"/>
      <c r="I43" s="60"/>
    </row>
    <row r="44" spans="1:9" x14ac:dyDescent="0.2">
      <c r="A44" s="52"/>
      <c r="B44" s="60"/>
      <c r="C44" s="60"/>
      <c r="D44" s="60"/>
      <c r="E44" s="60"/>
      <c r="F44" s="60"/>
      <c r="G44" s="60"/>
      <c r="H44" s="60"/>
      <c r="I44" s="60"/>
    </row>
    <row r="45" spans="1:9" ht="17" x14ac:dyDescent="0.2">
      <c r="A45" s="52"/>
      <c r="B45" s="60"/>
      <c r="C45" s="60"/>
      <c r="D45" s="60"/>
      <c r="E45" s="60"/>
      <c r="F45" s="60"/>
      <c r="G45" s="60"/>
      <c r="H45" s="60"/>
      <c r="I45" s="5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B142-38B8-8548-AE57-6806FEABB013}">
  <dimension ref="A1:K38"/>
  <sheetViews>
    <sheetView topLeftCell="A13" workbookViewId="0">
      <selection activeCell="M1" sqref="J1:M1048576"/>
    </sheetView>
  </sheetViews>
  <sheetFormatPr baseColWidth="10" defaultColWidth="12" defaultRowHeight="16" x14ac:dyDescent="0.2"/>
  <cols>
    <col min="10" max="10" width="29.5" customWidth="1"/>
  </cols>
  <sheetData>
    <row r="1" spans="1:8" ht="17" thickBot="1" x14ac:dyDescent="0.25">
      <c r="A1" t="s">
        <v>108</v>
      </c>
    </row>
    <row r="2" spans="1:8" ht="17" thickBot="1" x14ac:dyDescent="0.25">
      <c r="A2" s="8"/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7" t="s">
        <v>53</v>
      </c>
    </row>
    <row r="3" spans="1:8" x14ac:dyDescent="0.2">
      <c r="A3" s="286">
        <v>0.25</v>
      </c>
      <c r="B3" s="304"/>
      <c r="C3" s="304"/>
      <c r="D3" s="304"/>
      <c r="E3" s="304"/>
      <c r="F3" s="304"/>
      <c r="G3" s="304"/>
      <c r="H3" s="288"/>
    </row>
    <row r="4" spans="1:8" ht="17" thickBot="1" x14ac:dyDescent="0.25">
      <c r="A4" s="287"/>
      <c r="B4" s="305"/>
      <c r="C4" s="305"/>
      <c r="D4" s="305"/>
      <c r="E4" s="305"/>
      <c r="F4" s="305"/>
      <c r="G4" s="305"/>
      <c r="H4" s="289"/>
    </row>
    <row r="5" spans="1:8" ht="16" customHeight="1" x14ac:dyDescent="0.2">
      <c r="A5" s="286">
        <v>0.29166666666666702</v>
      </c>
      <c r="B5" s="304"/>
      <c r="C5" s="304"/>
      <c r="D5" s="304"/>
      <c r="E5" s="304"/>
      <c r="F5" s="304"/>
      <c r="G5" s="304" t="s">
        <v>12</v>
      </c>
      <c r="H5" s="290" t="s">
        <v>43</v>
      </c>
    </row>
    <row r="6" spans="1:8" ht="17" thickBot="1" x14ac:dyDescent="0.25">
      <c r="A6" s="287"/>
      <c r="B6" s="305"/>
      <c r="C6" s="305"/>
      <c r="D6" s="305"/>
      <c r="E6" s="305"/>
      <c r="F6" s="305"/>
      <c r="G6" s="305"/>
      <c r="H6" s="291"/>
    </row>
    <row r="7" spans="1:8" ht="16" customHeight="1" x14ac:dyDescent="0.2">
      <c r="A7" s="286">
        <v>0.33333333333333298</v>
      </c>
      <c r="B7" s="298" t="s">
        <v>42</v>
      </c>
      <c r="C7" s="298" t="s">
        <v>43</v>
      </c>
      <c r="D7" s="304" t="s">
        <v>12</v>
      </c>
      <c r="E7" s="298" t="s">
        <v>42</v>
      </c>
      <c r="F7" s="298" t="s">
        <v>43</v>
      </c>
      <c r="G7" s="304" t="s">
        <v>31</v>
      </c>
      <c r="H7" s="288" t="s">
        <v>15</v>
      </c>
    </row>
    <row r="8" spans="1:8" ht="17" thickBot="1" x14ac:dyDescent="0.25">
      <c r="A8" s="287"/>
      <c r="B8" s="299"/>
      <c r="C8" s="299"/>
      <c r="D8" s="305"/>
      <c r="E8" s="299"/>
      <c r="F8" s="299"/>
      <c r="G8" s="305"/>
      <c r="H8" s="289"/>
    </row>
    <row r="9" spans="1:8" ht="16" customHeight="1" x14ac:dyDescent="0.2">
      <c r="A9" s="286">
        <v>0.375</v>
      </c>
      <c r="B9" s="304" t="s">
        <v>4</v>
      </c>
      <c r="C9" s="304" t="s">
        <v>4</v>
      </c>
      <c r="D9" s="304" t="s">
        <v>31</v>
      </c>
      <c r="E9" s="304" t="s">
        <v>2</v>
      </c>
      <c r="F9" s="304" t="s">
        <v>4</v>
      </c>
      <c r="G9" s="362" t="s">
        <v>55</v>
      </c>
      <c r="H9" s="312" t="s">
        <v>55</v>
      </c>
    </row>
    <row r="10" spans="1:8" ht="17" thickBot="1" x14ac:dyDescent="0.25">
      <c r="A10" s="287"/>
      <c r="B10" s="305"/>
      <c r="C10" s="305"/>
      <c r="D10" s="305"/>
      <c r="E10" s="305"/>
      <c r="F10" s="305"/>
      <c r="G10" s="363"/>
      <c r="H10" s="313"/>
    </row>
    <row r="11" spans="1:8" ht="16" customHeight="1" x14ac:dyDescent="0.2">
      <c r="A11" s="286">
        <v>0.41666666666666702</v>
      </c>
      <c r="B11" s="298" t="s">
        <v>43</v>
      </c>
      <c r="C11" s="304" t="s">
        <v>2</v>
      </c>
      <c r="D11" s="298" t="s">
        <v>43</v>
      </c>
      <c r="E11" s="298" t="s">
        <v>43</v>
      </c>
      <c r="F11" s="304" t="s">
        <v>12</v>
      </c>
      <c r="G11" s="298" t="s">
        <v>43</v>
      </c>
      <c r="H11" s="290" t="s">
        <v>43</v>
      </c>
    </row>
    <row r="12" spans="1:8" ht="17" thickBot="1" x14ac:dyDescent="0.25">
      <c r="A12" s="287"/>
      <c r="B12" s="299"/>
      <c r="C12" s="305"/>
      <c r="D12" s="299"/>
      <c r="E12" s="299"/>
      <c r="F12" s="305"/>
      <c r="G12" s="299"/>
      <c r="H12" s="291"/>
    </row>
    <row r="13" spans="1:8" ht="16" customHeight="1" x14ac:dyDescent="0.2">
      <c r="A13" s="286">
        <v>0.45833333333333298</v>
      </c>
      <c r="B13" s="304" t="s">
        <v>31</v>
      </c>
      <c r="C13" s="304" t="s">
        <v>31</v>
      </c>
      <c r="D13" s="304" t="s">
        <v>33</v>
      </c>
      <c r="E13" s="304" t="s">
        <v>4</v>
      </c>
      <c r="F13" s="304" t="s">
        <v>31</v>
      </c>
      <c r="G13" s="362" t="s">
        <v>55</v>
      </c>
      <c r="H13" s="312" t="s">
        <v>2</v>
      </c>
    </row>
    <row r="14" spans="1:8" ht="17" thickBot="1" x14ac:dyDescent="0.25">
      <c r="A14" s="287"/>
      <c r="B14" s="305"/>
      <c r="C14" s="305"/>
      <c r="D14" s="305"/>
      <c r="E14" s="305"/>
      <c r="F14" s="305"/>
      <c r="G14" s="363"/>
      <c r="H14" s="313"/>
    </row>
    <row r="15" spans="1:8" ht="16" customHeight="1" x14ac:dyDescent="0.2">
      <c r="A15" s="286">
        <v>0.5</v>
      </c>
      <c r="B15" s="304" t="s">
        <v>12</v>
      </c>
      <c r="C15" s="298" t="s">
        <v>42</v>
      </c>
      <c r="D15" s="304" t="s">
        <v>12</v>
      </c>
      <c r="E15" s="304" t="s">
        <v>12</v>
      </c>
      <c r="F15" s="304" t="s">
        <v>2</v>
      </c>
      <c r="G15" s="304" t="s">
        <v>12</v>
      </c>
      <c r="H15" s="288" t="s">
        <v>12</v>
      </c>
    </row>
    <row r="16" spans="1:8" ht="17" thickBot="1" x14ac:dyDescent="0.25">
      <c r="A16" s="287"/>
      <c r="B16" s="305"/>
      <c r="C16" s="299"/>
      <c r="D16" s="305"/>
      <c r="E16" s="305"/>
      <c r="F16" s="305"/>
      <c r="G16" s="305"/>
      <c r="H16" s="289"/>
    </row>
    <row r="17" spans="1:11" ht="16" customHeight="1" x14ac:dyDescent="0.2">
      <c r="A17" s="286">
        <v>0.54166666666666696</v>
      </c>
      <c r="B17" s="304" t="s">
        <v>33</v>
      </c>
      <c r="C17" s="304" t="s">
        <v>33</v>
      </c>
      <c r="D17" s="304" t="s">
        <v>2</v>
      </c>
      <c r="E17" s="304" t="s">
        <v>31</v>
      </c>
      <c r="F17" s="304" t="s">
        <v>33</v>
      </c>
      <c r="G17" s="304" t="s">
        <v>2</v>
      </c>
      <c r="H17" s="288" t="s">
        <v>2</v>
      </c>
      <c r="I17" s="1" t="s">
        <v>117</v>
      </c>
      <c r="J17" s="2" t="s">
        <v>109</v>
      </c>
      <c r="K17" s="1">
        <v>0.5</v>
      </c>
    </row>
    <row r="18" spans="1:11" ht="17" thickBot="1" x14ac:dyDescent="0.25">
      <c r="A18" s="287"/>
      <c r="B18" s="305"/>
      <c r="C18" s="305"/>
      <c r="D18" s="305"/>
      <c r="E18" s="305"/>
      <c r="F18" s="305"/>
      <c r="G18" s="305"/>
      <c r="H18" s="289"/>
      <c r="I18" s="24">
        <v>6.25E-2</v>
      </c>
      <c r="J18" s="2" t="s">
        <v>110</v>
      </c>
      <c r="K18" s="1">
        <v>1</v>
      </c>
    </row>
    <row r="19" spans="1:11" ht="16" customHeight="1" x14ac:dyDescent="0.2">
      <c r="A19" s="286">
        <v>0.58333333333333304</v>
      </c>
      <c r="B19" s="362" t="s">
        <v>55</v>
      </c>
      <c r="C19" s="298" t="s">
        <v>43</v>
      </c>
      <c r="D19" s="362" t="s">
        <v>55</v>
      </c>
      <c r="E19" s="298" t="s">
        <v>42</v>
      </c>
      <c r="F19" s="362" t="s">
        <v>55</v>
      </c>
      <c r="G19" s="304" t="s">
        <v>4</v>
      </c>
      <c r="H19" s="288" t="s">
        <v>4</v>
      </c>
      <c r="I19" s="1" t="s">
        <v>118</v>
      </c>
      <c r="J19" s="2" t="s">
        <v>111</v>
      </c>
      <c r="K19" s="1">
        <v>1.5</v>
      </c>
    </row>
    <row r="20" spans="1:11" ht="17" thickBot="1" x14ac:dyDescent="0.25">
      <c r="A20" s="287"/>
      <c r="B20" s="363"/>
      <c r="C20" s="299"/>
      <c r="D20" s="363"/>
      <c r="E20" s="299"/>
      <c r="F20" s="363"/>
      <c r="G20" s="305"/>
      <c r="H20" s="289"/>
      <c r="I20" s="24" t="s">
        <v>119</v>
      </c>
      <c r="J20" s="2" t="s">
        <v>111</v>
      </c>
      <c r="K20" s="1">
        <v>2</v>
      </c>
    </row>
    <row r="21" spans="1:11" ht="15" customHeight="1" x14ac:dyDescent="0.2">
      <c r="A21" s="286">
        <v>0.625</v>
      </c>
      <c r="B21" s="304" t="s">
        <v>33</v>
      </c>
      <c r="C21" s="304" t="s">
        <v>31</v>
      </c>
      <c r="D21" s="304" t="s">
        <v>31</v>
      </c>
      <c r="E21" s="304" t="s">
        <v>33</v>
      </c>
      <c r="F21" s="304" t="s">
        <v>15</v>
      </c>
      <c r="G21" s="298" t="s">
        <v>43</v>
      </c>
      <c r="H21" s="290" t="s">
        <v>42</v>
      </c>
      <c r="I21" s="1">
        <v>2.5</v>
      </c>
      <c r="J21" s="21" t="s">
        <v>112</v>
      </c>
      <c r="K21" s="1">
        <v>2.5</v>
      </c>
    </row>
    <row r="22" spans="1:11" ht="17" thickBot="1" x14ac:dyDescent="0.25">
      <c r="A22" s="287"/>
      <c r="B22" s="305"/>
      <c r="C22" s="305"/>
      <c r="D22" s="305"/>
      <c r="E22" s="305"/>
      <c r="F22" s="305"/>
      <c r="G22" s="299"/>
      <c r="H22" s="291"/>
      <c r="I22" s="1">
        <v>3</v>
      </c>
      <c r="J22" s="2" t="s">
        <v>110</v>
      </c>
      <c r="K22" s="1">
        <v>3</v>
      </c>
    </row>
    <row r="23" spans="1:11" ht="16" customHeight="1" x14ac:dyDescent="0.2">
      <c r="A23" s="286">
        <v>0.66666666666666696</v>
      </c>
      <c r="B23" s="298" t="s">
        <v>43</v>
      </c>
      <c r="C23" s="298" t="s">
        <v>43</v>
      </c>
      <c r="D23" s="298" t="s">
        <v>43</v>
      </c>
      <c r="E23" s="298" t="s">
        <v>43</v>
      </c>
      <c r="F23" s="298" t="s">
        <v>43</v>
      </c>
      <c r="G23" s="304" t="s">
        <v>12</v>
      </c>
      <c r="H23" s="288" t="s">
        <v>31</v>
      </c>
      <c r="I23" s="1">
        <v>3.5</v>
      </c>
      <c r="J23" s="2" t="s">
        <v>111</v>
      </c>
      <c r="K23" s="1">
        <v>3.5</v>
      </c>
    </row>
    <row r="24" spans="1:11" ht="17" thickBot="1" x14ac:dyDescent="0.25">
      <c r="A24" s="287"/>
      <c r="B24" s="299"/>
      <c r="C24" s="299"/>
      <c r="D24" s="299"/>
      <c r="E24" s="299"/>
      <c r="F24" s="299"/>
      <c r="G24" s="305"/>
      <c r="H24" s="289"/>
      <c r="I24" s="1">
        <v>4</v>
      </c>
      <c r="J24" s="2" t="s">
        <v>111</v>
      </c>
      <c r="K24" s="1">
        <v>4</v>
      </c>
    </row>
    <row r="25" spans="1:11" ht="16" customHeight="1" x14ac:dyDescent="0.2">
      <c r="A25" s="286">
        <v>0.70833333333333304</v>
      </c>
      <c r="B25" s="304" t="s">
        <v>12</v>
      </c>
      <c r="C25" s="304" t="s">
        <v>12</v>
      </c>
      <c r="D25" s="304" t="s">
        <v>33</v>
      </c>
      <c r="E25" s="304" t="s">
        <v>33</v>
      </c>
      <c r="F25" s="304" t="s">
        <v>33</v>
      </c>
      <c r="G25" s="304" t="s">
        <v>33</v>
      </c>
      <c r="H25" s="288" t="s">
        <v>33</v>
      </c>
      <c r="I25" s="1">
        <v>4.5</v>
      </c>
      <c r="J25" s="2" t="s">
        <v>113</v>
      </c>
      <c r="K25" s="1">
        <v>4.5</v>
      </c>
    </row>
    <row r="26" spans="1:11" ht="17" thickBot="1" x14ac:dyDescent="0.25">
      <c r="A26" s="287"/>
      <c r="B26" s="305"/>
      <c r="C26" s="305"/>
      <c r="D26" s="305"/>
      <c r="E26" s="305"/>
      <c r="F26" s="305"/>
      <c r="G26" s="305"/>
      <c r="H26" s="289"/>
      <c r="I26" s="1">
        <v>5</v>
      </c>
      <c r="J26" s="2" t="s">
        <v>114</v>
      </c>
      <c r="K26" s="1">
        <v>5</v>
      </c>
    </row>
    <row r="27" spans="1:11" ht="16" customHeight="1" x14ac:dyDescent="0.2">
      <c r="A27" s="314" t="s">
        <v>105</v>
      </c>
      <c r="B27" s="304" t="s">
        <v>12</v>
      </c>
      <c r="C27" s="304" t="s">
        <v>12</v>
      </c>
      <c r="D27" s="304" t="s">
        <v>33</v>
      </c>
      <c r="E27" s="304" t="s">
        <v>33</v>
      </c>
      <c r="F27" s="304" t="s">
        <v>33</v>
      </c>
      <c r="G27" s="304" t="s">
        <v>33</v>
      </c>
      <c r="H27" s="288" t="s">
        <v>33</v>
      </c>
      <c r="I27" s="1">
        <v>5.5</v>
      </c>
      <c r="J27" s="2" t="s">
        <v>115</v>
      </c>
      <c r="K27" s="1">
        <v>5.5</v>
      </c>
    </row>
    <row r="28" spans="1:11" ht="17" thickBot="1" x14ac:dyDescent="0.25">
      <c r="A28" s="287"/>
      <c r="B28" s="305"/>
      <c r="C28" s="305"/>
      <c r="D28" s="305"/>
      <c r="E28" s="305"/>
      <c r="F28" s="305"/>
      <c r="G28" s="305"/>
      <c r="H28" s="289"/>
      <c r="I28" s="1">
        <v>6</v>
      </c>
      <c r="J28" s="2" t="s">
        <v>115</v>
      </c>
      <c r="K28" s="1">
        <v>6</v>
      </c>
    </row>
    <row r="29" spans="1:11" ht="16" customHeight="1" x14ac:dyDescent="0.2">
      <c r="A29" s="314" t="s">
        <v>104</v>
      </c>
      <c r="B29" s="304" t="s">
        <v>33</v>
      </c>
      <c r="C29" s="304" t="s">
        <v>33</v>
      </c>
      <c r="D29" s="304" t="s">
        <v>12</v>
      </c>
      <c r="E29" s="304" t="s">
        <v>12</v>
      </c>
      <c r="F29" s="304" t="s">
        <v>12</v>
      </c>
      <c r="G29" s="304" t="s">
        <v>12</v>
      </c>
      <c r="H29" s="288" t="s">
        <v>12</v>
      </c>
      <c r="I29" s="1">
        <v>6.5</v>
      </c>
      <c r="J29" s="2" t="s">
        <v>112</v>
      </c>
      <c r="K29" s="1">
        <v>6.5</v>
      </c>
    </row>
    <row r="30" spans="1:11" ht="17" thickBot="1" x14ac:dyDescent="0.25">
      <c r="A30" s="287"/>
      <c r="B30" s="305"/>
      <c r="C30" s="305"/>
      <c r="D30" s="305"/>
      <c r="E30" s="305"/>
      <c r="F30" s="305"/>
      <c r="G30" s="305"/>
      <c r="H30" s="289"/>
      <c r="I30" s="1">
        <v>7</v>
      </c>
      <c r="J30" s="2" t="s">
        <v>110</v>
      </c>
      <c r="K30" s="1">
        <v>7</v>
      </c>
    </row>
    <row r="31" spans="1:11" ht="16" customHeight="1" x14ac:dyDescent="0.2">
      <c r="A31" s="286">
        <v>0.83333333333333304</v>
      </c>
      <c r="B31" s="304"/>
      <c r="C31" s="304"/>
      <c r="D31" s="304"/>
      <c r="E31" s="304"/>
      <c r="F31" s="304" t="s">
        <v>12</v>
      </c>
      <c r="G31" s="304" t="s">
        <v>15</v>
      </c>
      <c r="H31" s="356"/>
      <c r="I31" s="1">
        <v>7.5</v>
      </c>
      <c r="J31" s="2" t="s">
        <v>115</v>
      </c>
      <c r="K31" s="1">
        <v>7.5</v>
      </c>
    </row>
    <row r="32" spans="1:11" ht="17" thickBot="1" x14ac:dyDescent="0.25">
      <c r="A32" s="287"/>
      <c r="B32" s="305"/>
      <c r="C32" s="305"/>
      <c r="D32" s="305"/>
      <c r="E32" s="305"/>
      <c r="F32" s="305"/>
      <c r="G32" s="305"/>
      <c r="H32" s="357"/>
      <c r="I32" s="1">
        <v>8</v>
      </c>
      <c r="J32" s="2" t="s">
        <v>115</v>
      </c>
      <c r="K32" s="1">
        <v>8</v>
      </c>
    </row>
    <row r="33" spans="1:11" x14ac:dyDescent="0.2">
      <c r="A33" s="286">
        <v>0.875</v>
      </c>
      <c r="B33" s="304"/>
      <c r="C33" s="304"/>
      <c r="D33" s="304"/>
      <c r="E33" s="304"/>
      <c r="F33" s="304"/>
      <c r="G33" s="304"/>
      <c r="H33" s="288"/>
      <c r="I33" s="1">
        <v>8.5</v>
      </c>
      <c r="J33" s="2" t="s">
        <v>116</v>
      </c>
      <c r="K33" s="1">
        <v>8.5</v>
      </c>
    </row>
    <row r="34" spans="1:11" ht="17" thickBot="1" x14ac:dyDescent="0.25">
      <c r="A34" s="287"/>
      <c r="B34" s="305"/>
      <c r="C34" s="305"/>
      <c r="D34" s="305"/>
      <c r="E34" s="305"/>
      <c r="F34" s="305"/>
      <c r="G34" s="305"/>
      <c r="H34" s="289"/>
    </row>
    <row r="35" spans="1:11" x14ac:dyDescent="0.2">
      <c r="A35" s="286">
        <v>0.91666666666666696</v>
      </c>
      <c r="B35" s="304"/>
      <c r="C35" s="304"/>
      <c r="D35" s="304"/>
      <c r="E35" s="304"/>
      <c r="F35" s="304"/>
      <c r="G35" s="304"/>
      <c r="H35" s="288"/>
    </row>
    <row r="36" spans="1:11" ht="17" thickBot="1" x14ac:dyDescent="0.25">
      <c r="A36" s="287"/>
      <c r="B36" s="305"/>
      <c r="C36" s="305"/>
      <c r="D36" s="305"/>
      <c r="E36" s="305"/>
      <c r="F36" s="305"/>
      <c r="G36" s="305"/>
      <c r="H36" s="289"/>
    </row>
    <row r="37" spans="1:11" x14ac:dyDescent="0.2">
      <c r="A37" s="286">
        <v>0.95833333333333304</v>
      </c>
      <c r="B37" s="304"/>
      <c r="C37" s="304"/>
      <c r="D37" s="304"/>
      <c r="E37" s="304"/>
      <c r="F37" s="304"/>
      <c r="G37" s="304"/>
      <c r="H37" s="361"/>
    </row>
    <row r="38" spans="1:11" x14ac:dyDescent="0.2">
      <c r="A38" s="287"/>
      <c r="B38" s="360"/>
      <c r="C38" s="360"/>
      <c r="D38" s="360"/>
      <c r="E38" s="360"/>
      <c r="F38" s="360"/>
      <c r="G38" s="360"/>
      <c r="H38" s="317"/>
    </row>
  </sheetData>
  <mergeCells count="144">
    <mergeCell ref="G3:G4"/>
    <mergeCell ref="H3:H4"/>
    <mergeCell ref="A5:A6"/>
    <mergeCell ref="B5:B6"/>
    <mergeCell ref="C5:C6"/>
    <mergeCell ref="D5:D6"/>
    <mergeCell ref="E5:E6"/>
    <mergeCell ref="F5:F6"/>
    <mergeCell ref="G5:G6"/>
    <mergeCell ref="H5:H6"/>
    <mergeCell ref="A3:A4"/>
    <mergeCell ref="B3:B4"/>
    <mergeCell ref="C3:C4"/>
    <mergeCell ref="D3:D4"/>
    <mergeCell ref="E3:E4"/>
    <mergeCell ref="F3:F4"/>
    <mergeCell ref="G7:G8"/>
    <mergeCell ref="H7:H8"/>
    <mergeCell ref="A9:A10"/>
    <mergeCell ref="B9:B10"/>
    <mergeCell ref="C9:C10"/>
    <mergeCell ref="D9:D10"/>
    <mergeCell ref="E9:E10"/>
    <mergeCell ref="F9:F10"/>
    <mergeCell ref="G9:G10"/>
    <mergeCell ref="H9:H10"/>
    <mergeCell ref="A7:A8"/>
    <mergeCell ref="B7:B8"/>
    <mergeCell ref="C7:C8"/>
    <mergeCell ref="D7:D8"/>
    <mergeCell ref="E7:E8"/>
    <mergeCell ref="F7:F8"/>
    <mergeCell ref="G11:G12"/>
    <mergeCell ref="H11:H12"/>
    <mergeCell ref="A13:A14"/>
    <mergeCell ref="B13:B14"/>
    <mergeCell ref="C13:C14"/>
    <mergeCell ref="D13:D14"/>
    <mergeCell ref="E13:E14"/>
    <mergeCell ref="F13:F14"/>
    <mergeCell ref="G13:G14"/>
    <mergeCell ref="H13:H14"/>
    <mergeCell ref="A11:A12"/>
    <mergeCell ref="B11:B12"/>
    <mergeCell ref="C11:C12"/>
    <mergeCell ref="D11:D12"/>
    <mergeCell ref="E11:E12"/>
    <mergeCell ref="F11:F12"/>
    <mergeCell ref="G15:G16"/>
    <mergeCell ref="H15:H16"/>
    <mergeCell ref="A17:A18"/>
    <mergeCell ref="B17:B18"/>
    <mergeCell ref="C17:C18"/>
    <mergeCell ref="D17:D18"/>
    <mergeCell ref="E17:E18"/>
    <mergeCell ref="F17:F18"/>
    <mergeCell ref="G17:G18"/>
    <mergeCell ref="H17:H18"/>
    <mergeCell ref="A15:A16"/>
    <mergeCell ref="B15:B16"/>
    <mergeCell ref="C15:C16"/>
    <mergeCell ref="D15:D16"/>
    <mergeCell ref="E15:E16"/>
    <mergeCell ref="F15:F16"/>
    <mergeCell ref="G19:G20"/>
    <mergeCell ref="H19:H20"/>
    <mergeCell ref="A21:A22"/>
    <mergeCell ref="B21:B22"/>
    <mergeCell ref="C21:C22"/>
    <mergeCell ref="D21:D22"/>
    <mergeCell ref="E21:E22"/>
    <mergeCell ref="F21:F22"/>
    <mergeCell ref="G21:G22"/>
    <mergeCell ref="H21:H22"/>
    <mergeCell ref="A19:A20"/>
    <mergeCell ref="B19:B20"/>
    <mergeCell ref="C19:C20"/>
    <mergeCell ref="D19:D20"/>
    <mergeCell ref="E19:E20"/>
    <mergeCell ref="F19:F20"/>
    <mergeCell ref="G23:G24"/>
    <mergeCell ref="H23:H24"/>
    <mergeCell ref="A25:A26"/>
    <mergeCell ref="B25:B26"/>
    <mergeCell ref="C25:C26"/>
    <mergeCell ref="D25:D26"/>
    <mergeCell ref="E25:E26"/>
    <mergeCell ref="F25:F26"/>
    <mergeCell ref="G25:G26"/>
    <mergeCell ref="H25:H26"/>
    <mergeCell ref="A23:A24"/>
    <mergeCell ref="B23:B24"/>
    <mergeCell ref="C23:C24"/>
    <mergeCell ref="D23:D24"/>
    <mergeCell ref="E23:E24"/>
    <mergeCell ref="F23:F24"/>
    <mergeCell ref="G27:G28"/>
    <mergeCell ref="H27:H28"/>
    <mergeCell ref="A29:A30"/>
    <mergeCell ref="B29:B30"/>
    <mergeCell ref="C29:C30"/>
    <mergeCell ref="D29:D30"/>
    <mergeCell ref="E29:E30"/>
    <mergeCell ref="F29:F30"/>
    <mergeCell ref="G29:G30"/>
    <mergeCell ref="H29:H30"/>
    <mergeCell ref="A27:A28"/>
    <mergeCell ref="B27:B28"/>
    <mergeCell ref="C27:C28"/>
    <mergeCell ref="D27:D28"/>
    <mergeCell ref="E27:E28"/>
    <mergeCell ref="F27:F28"/>
    <mergeCell ref="G31:G32"/>
    <mergeCell ref="H31:H32"/>
    <mergeCell ref="A33:A34"/>
    <mergeCell ref="B33:B34"/>
    <mergeCell ref="C33:C34"/>
    <mergeCell ref="D33:D34"/>
    <mergeCell ref="E33:E34"/>
    <mergeCell ref="F33:F34"/>
    <mergeCell ref="G33:G34"/>
    <mergeCell ref="H33:H34"/>
    <mergeCell ref="A31:A32"/>
    <mergeCell ref="B31:B32"/>
    <mergeCell ref="C31:C32"/>
    <mergeCell ref="D31:D32"/>
    <mergeCell ref="E31:E32"/>
    <mergeCell ref="F31:F32"/>
    <mergeCell ref="G35:G36"/>
    <mergeCell ref="H35:H36"/>
    <mergeCell ref="A37:A38"/>
    <mergeCell ref="B37:B38"/>
    <mergeCell ref="C37:C38"/>
    <mergeCell ref="D37:D38"/>
    <mergeCell ref="E37:E38"/>
    <mergeCell ref="F37:F38"/>
    <mergeCell ref="G37:G38"/>
    <mergeCell ref="H37:H38"/>
    <mergeCell ref="A35:A36"/>
    <mergeCell ref="B35:B36"/>
    <mergeCell ref="C35:C36"/>
    <mergeCell ref="D35:D36"/>
    <mergeCell ref="E35:E36"/>
    <mergeCell ref="F35:F36"/>
  </mergeCells>
  <dataValidations count="1">
    <dataValidation type="list" allowBlank="1" showInputMessage="1" showErrorMessage="1" sqref="B3:H38" xr:uid="{38747C2E-6CD7-1B43-995F-AEF8F9E93602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OPENING SCHEDULE FINAL 1.0</vt:lpstr>
      <vt:lpstr>SPEC_LIFEGUARD_ROTATION</vt:lpstr>
      <vt:lpstr>Reef Surf Product Proposal</vt:lpstr>
      <vt:lpstr>MANNING BUDGET</vt:lpstr>
      <vt:lpstr>Shift Types</vt:lpstr>
      <vt:lpstr>LG Schedule 8-8pm M,T,TH </vt:lpstr>
      <vt:lpstr>LG Schedule 8-8pm W</vt:lpstr>
      <vt:lpstr>LG Schedule 8-9pm F </vt:lpstr>
      <vt:lpstr>LG Schedule 7-9pm Sat</vt:lpstr>
      <vt:lpstr>LG Schedule 7-8pm SUN </vt:lpstr>
      <vt:lpstr>Session List</vt:lpstr>
      <vt:lpstr>OPENING SCHEDULE</vt:lpstr>
      <vt:lpstr>Coaching Staff (2)</vt:lpstr>
      <vt:lpstr>Coaching Staff (3)</vt:lpstr>
      <vt:lpstr>Coaching Staff (4)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Kemp</dc:creator>
  <cp:lastModifiedBy>Dervla Meegan Kumar</cp:lastModifiedBy>
  <dcterms:created xsi:type="dcterms:W3CDTF">2026-03-20T23:54:52Z</dcterms:created>
  <dcterms:modified xsi:type="dcterms:W3CDTF">2026-05-03T06:22:17Z</dcterms:modified>
</cp:coreProperties>
</file>